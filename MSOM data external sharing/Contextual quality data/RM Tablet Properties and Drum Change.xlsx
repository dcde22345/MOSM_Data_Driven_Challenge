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enl-my.sharepoint.com/personal/t_g_martagan_tue_nl/Documents/MSOM Data Files/MSOM data external sharing/Contextual quality data/"/>
    </mc:Choice>
  </mc:AlternateContent>
  <xr:revisionPtr revIDLastSave="2" documentId="13_ncr:1_{89178C29-C054-9743-AAFA-1CDC4765ACC7}" xr6:coauthVersionLast="47" xr6:coauthVersionMax="47" xr10:uidLastSave="{C16467EB-1C26-4A32-AE55-6EFB02C63EDE}"/>
  <bookViews>
    <workbookView xWindow="38290" yWindow="-110" windowWidth="38620" windowHeight="21100" tabRatio="876" xr2:uid="{00000000-000D-0000-FFFF-FFFF00000000}"/>
  </bookViews>
  <sheets>
    <sheet name="Tablet properties" sheetId="4" r:id="rId1"/>
    <sheet name="Raw Material Drum change" sheetId="12" r:id="rId2"/>
  </sheets>
  <definedNames>
    <definedName name="_xlnm._FilterDatabase" localSheetId="0" hidden="1">'Tablet properties'!$A$1:$G$286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1" i="12" l="1"/>
  <c r="V3" i="12" s="1"/>
  <c r="N7" i="12"/>
  <c r="J28" i="12"/>
  <c r="B72" i="12"/>
  <c r="F58" i="12"/>
  <c r="R3" i="12" l="1"/>
  <c r="N3" i="12"/>
  <c r="J3" i="12"/>
  <c r="B3" i="12"/>
  <c r="F8" i="12" l="1"/>
  <c r="F6" i="12"/>
  <c r="F5" i="12"/>
  <c r="F3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Tantuccio</author>
  </authors>
  <commentList>
    <comment ref="A67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Anthony Tantuccio:</t>
        </r>
        <r>
          <rPr>
            <sz val="9"/>
            <color indexed="81"/>
            <rFont val="Tahoma"/>
            <family val="2"/>
          </rPr>
          <t xml:space="preserve">
Pause after sample. Results entering ito CDC after restart
</t>
        </r>
      </text>
    </comment>
    <comment ref="A74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Anthony Tantuccio:</t>
        </r>
        <r>
          <rPr>
            <sz val="9"/>
            <color indexed="81"/>
            <rFont val="Tahoma"/>
            <family val="2"/>
          </rPr>
          <t xml:space="preserve">
Samplewas taken during rejection from LHP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Tantuccio</author>
    <author>tc={05A668C5-F715-C44E-8A45-13AE58EF3901}</author>
  </authors>
  <commentList>
    <comment ref="H7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Anthony Tantuccio:</t>
        </r>
        <r>
          <rPr>
            <sz val="9"/>
            <color indexed="81"/>
            <rFont val="Tahoma"/>
            <family val="2"/>
          </rPr>
          <t xml:space="preserve">
Hopper full
</t>
        </r>
      </text>
    </comment>
    <comment ref="H9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Anthony Tantuccio:</t>
        </r>
        <r>
          <rPr>
            <sz val="9"/>
            <color indexed="81"/>
            <rFont val="Tahoma"/>
            <family val="2"/>
          </rPr>
          <t xml:space="preserve">
full hopper
</t>
        </r>
      </text>
    </comment>
    <comment ref="H10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Anthony Tantuccio:</t>
        </r>
        <r>
          <rPr>
            <sz val="9"/>
            <color indexed="81"/>
            <rFont val="Tahoma"/>
            <family val="2"/>
          </rPr>
          <t xml:space="preserve">
full hopper
</t>
        </r>
      </text>
    </comment>
    <comment ref="H17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Anthony Tantuccio:</t>
        </r>
        <r>
          <rPr>
            <sz val="9"/>
            <color indexed="81"/>
            <rFont val="Tahoma"/>
            <family val="2"/>
          </rPr>
          <t xml:space="preserve">
Full Hopper
</t>
        </r>
      </text>
    </comment>
    <comment ref="U24" authorId="1" shapeId="0" xr:uid="{05A668C5-F715-C44E-8A45-13AE58EF3901}">
      <text>
        <t>[Threaded comment]
Your version of Excel allows you to read this threaded comment; however, any edits to it will get removed if the file is opened in a newer version of Excel. Learn more: https://go.microsoft.com/fwlink/?linkid=870924
Comment:
    Lot change</t>
      </text>
    </comment>
    <comment ref="H34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Anthony Tantuccio:</t>
        </r>
        <r>
          <rPr>
            <sz val="9"/>
            <color indexed="81"/>
            <rFont val="Tahoma"/>
            <family val="2"/>
          </rPr>
          <t xml:space="preserve">
Full Hopper
</t>
        </r>
      </text>
    </comment>
    <comment ref="H36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Anthony Tantuccio:</t>
        </r>
        <r>
          <rPr>
            <sz val="9"/>
            <color indexed="81"/>
            <rFont val="Tahoma"/>
            <family val="2"/>
          </rPr>
          <t xml:space="preserve">
Full Hopper
</t>
        </r>
      </text>
    </comment>
    <comment ref="C5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Anthony Tantuccio:</t>
        </r>
        <r>
          <rPr>
            <sz val="9"/>
            <color indexed="81"/>
            <rFont val="Tahoma"/>
            <family val="2"/>
          </rPr>
          <t xml:space="preserve">
this was a second drum labelled 00296
</t>
        </r>
      </text>
    </comment>
    <comment ref="C52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Anthony Tantuccio:</t>
        </r>
        <r>
          <rPr>
            <sz val="9"/>
            <color indexed="81"/>
            <rFont val="Tahoma"/>
            <family val="2"/>
          </rPr>
          <t xml:space="preserve">
this was a second drum labelled 00296
</t>
        </r>
      </text>
    </comment>
    <comment ref="C53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Anthony Tantuccio:</t>
        </r>
        <r>
          <rPr>
            <sz val="9"/>
            <color indexed="81"/>
            <rFont val="Tahoma"/>
            <family val="2"/>
          </rPr>
          <t xml:space="preserve">
this was a second drum labelled 00296
</t>
        </r>
      </text>
    </comment>
    <comment ref="C54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Anthony Tantuccio:</t>
        </r>
        <r>
          <rPr>
            <sz val="9"/>
            <color indexed="81"/>
            <rFont val="Tahoma"/>
            <family val="2"/>
          </rPr>
          <t xml:space="preserve">
this was a second drum labelled 00296
</t>
        </r>
      </text>
    </comment>
    <comment ref="C55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Anthony Tantuccio:</t>
        </r>
        <r>
          <rPr>
            <sz val="9"/>
            <color indexed="81"/>
            <rFont val="Tahoma"/>
            <family val="2"/>
          </rPr>
          <t xml:space="preserve">
this was a second drum labelled 00296
</t>
        </r>
      </text>
    </comment>
    <comment ref="C56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Anthony Tantuccio:</t>
        </r>
        <r>
          <rPr>
            <sz val="9"/>
            <color indexed="81"/>
            <rFont val="Tahoma"/>
            <family val="2"/>
          </rPr>
          <t xml:space="preserve">
this was a second drum labelled 00296
</t>
        </r>
      </text>
    </comment>
    <comment ref="C57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Anthony Tantuccio:</t>
        </r>
        <r>
          <rPr>
            <sz val="9"/>
            <color indexed="81"/>
            <rFont val="Tahoma"/>
            <family val="2"/>
          </rPr>
          <t xml:space="preserve">
this was a second drum labelled 00296
</t>
        </r>
      </text>
    </comment>
  </commentList>
</comments>
</file>

<file path=xl/sharedStrings.xml><?xml version="1.0" encoding="utf-8"?>
<sst xmlns="http://schemas.openxmlformats.org/spreadsheetml/2006/main" count="177" uniqueCount="46">
  <si>
    <t>Weight (mg)</t>
  </si>
  <si>
    <t>Thickness (mm)</t>
  </si>
  <si>
    <t>Hardness (kP)</t>
  </si>
  <si>
    <t>Entered into the system</t>
  </si>
  <si>
    <t>Avg weight [mg]</t>
  </si>
  <si>
    <t>SD weight</t>
  </si>
  <si>
    <t>Avg thickness [mm]</t>
  </si>
  <si>
    <t>SD thickness</t>
  </si>
  <si>
    <t>Avg hardness [kP]</t>
  </si>
  <si>
    <t>SD hardness</t>
  </si>
  <si>
    <t>API</t>
  </si>
  <si>
    <t>Magnesium Stearate</t>
  </si>
  <si>
    <t>Lactose (Lot = 85170761)</t>
  </si>
  <si>
    <t>Ac-Di-Sol (Crosscarmellpose)</t>
  </si>
  <si>
    <t>Avicel 102 (PD 1) - (Lot = 71734C)</t>
  </si>
  <si>
    <t>Avicel 102 (PD 4) - (Lot = 71734C)</t>
  </si>
  <si>
    <t>Date/Time</t>
  </si>
  <si>
    <t>Amount (kg)</t>
  </si>
  <si>
    <t>Lot</t>
  </si>
  <si>
    <t>Est Refill time</t>
  </si>
  <si>
    <t>Drum #</t>
  </si>
  <si>
    <t>Total</t>
  </si>
  <si>
    <t>00077</t>
  </si>
  <si>
    <t>bag 1</t>
  </si>
  <si>
    <t>00080</t>
  </si>
  <si>
    <t>End</t>
  </si>
  <si>
    <t>missing</t>
  </si>
  <si>
    <t>00071</t>
  </si>
  <si>
    <t>00298</t>
  </si>
  <si>
    <t>bag 2</t>
  </si>
  <si>
    <t>00076</t>
  </si>
  <si>
    <t>(LOT  71732C ) 04577</t>
  </si>
  <si>
    <t>(LOT  71732C ) 04562</t>
  </si>
  <si>
    <t>(LOT  71732C ) 04570</t>
  </si>
  <si>
    <t>(LOT  71732C ) 04561</t>
  </si>
  <si>
    <t>00075</t>
  </si>
  <si>
    <t>END</t>
  </si>
  <si>
    <t>(LOT  71732C ) 04569</t>
  </si>
  <si>
    <t>00296</t>
  </si>
  <si>
    <t>00072</t>
  </si>
  <si>
    <t>bag 3</t>
  </si>
  <si>
    <t>00074</t>
  </si>
  <si>
    <t>bag 4</t>
  </si>
  <si>
    <t>00073</t>
  </si>
  <si>
    <t>00078</t>
  </si>
  <si>
    <t>00079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</si>
</sst>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yy\ h:mm:ss"/>
    <numFmt numFmtId="165" formatCode="d\-mmm\-yyyy\ h:m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A7D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5" fillId="3" borderId="4" applyNumberFormat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164" fontId="0" fillId="0" borderId="1" xfId="0" applyNumberFormat="1" applyBorder="1"/>
    <xf numFmtId="165" fontId="0" fillId="0" borderId="0" xfId="0" applyNumberFormat="1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164" fontId="0" fillId="2" borderId="1" xfId="0" applyNumberFormat="1" applyFill="1" applyBorder="1"/>
    <xf numFmtId="0" fontId="0" fillId="2" borderId="1" xfId="0" applyFill="1" applyBorder="1"/>
    <xf numFmtId="0" fontId="0" fillId="2" borderId="0" xfId="0" applyFill="1"/>
    <xf numFmtId="0" fontId="5" fillId="3" borderId="4" xfId="1"/>
    <xf numFmtId="0" fontId="5" fillId="3" borderId="4" xfId="1" applyNumberFormat="1"/>
    <xf numFmtId="0" fontId="2" fillId="0" borderId="0" xfId="0" applyFont="1" applyAlignment="1">
      <alignment horizontal="center"/>
    </xf>
    <xf numFmtId="164" fontId="0" fillId="4" borderId="1" xfId="0" applyNumberFormat="1" applyFill="1" applyBorder="1"/>
    <xf numFmtId="0" fontId="0" fillId="4" borderId="1" xfId="0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colors>
    <mruColors>
      <color rgb="FF86C9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rckx, Coen" id="{02BC0A91-729F-A147-B6AB-53B6384E7A04}" userId="S::dirckx@merck.com::9c142a56-22f8-4399-bc38-8d3378cef079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24" dT="2024-03-26T12:29:45.38" personId="{02BC0A91-729F-A147-B6AB-53B6384E7A04}" id="{05A668C5-F715-C44E-8A45-13AE58EF3901}">
    <text>Lot change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904"/>
  <sheetViews>
    <sheetView tabSelected="1" topLeftCell="A2" zoomScale="80" zoomScaleNormal="80" workbookViewId="0">
      <pane ySplit="1" topLeftCell="A3" activePane="bottomLeft" state="frozenSplit"/>
      <selection activeCell="A2" sqref="A2"/>
      <selection pane="bottomLeft" activeCell="J9" sqref="J9"/>
    </sheetView>
  </sheetViews>
  <sheetFormatPr defaultColWidth="8.83984375" defaultRowHeight="14.4" x14ac:dyDescent="0.55000000000000004"/>
  <cols>
    <col min="1" max="1" width="26.41796875" customWidth="1"/>
    <col min="2" max="2" width="17" style="1" bestFit="1" customWidth="1"/>
    <col min="3" max="3" width="12.83984375" style="1" bestFit="1" customWidth="1"/>
    <col min="4" max="4" width="19.83984375" style="1" bestFit="1" customWidth="1"/>
    <col min="5" max="5" width="11.15625" style="1" customWidth="1"/>
    <col min="6" max="6" width="18.41796875" style="1" bestFit="1" customWidth="1"/>
    <col min="7" max="7" width="11" style="1" bestFit="1" customWidth="1"/>
  </cols>
  <sheetData>
    <row r="1" spans="1:7" x14ac:dyDescent="0.55000000000000004">
      <c r="A1" s="3"/>
      <c r="B1" s="3" t="s">
        <v>0</v>
      </c>
      <c r="C1" s="3"/>
      <c r="D1" s="3" t="s">
        <v>1</v>
      </c>
      <c r="E1" s="3"/>
      <c r="F1" s="1" t="s">
        <v>2</v>
      </c>
      <c r="G1" s="3"/>
    </row>
    <row r="2" spans="1:7" s="1" customFormat="1" x14ac:dyDescent="0.55000000000000004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1" t="s">
        <v>8</v>
      </c>
      <c r="G2" s="3" t="s">
        <v>9</v>
      </c>
    </row>
    <row r="3" spans="1:7" x14ac:dyDescent="0.55000000000000004">
      <c r="A3" s="6">
        <v>43112.372916666667</v>
      </c>
      <c r="B3" s="1">
        <v>403.2</v>
      </c>
      <c r="C3" s="1">
        <v>1.2</v>
      </c>
      <c r="D3" s="1">
        <v>4.68</v>
      </c>
      <c r="E3" s="1">
        <v>1.8720000000000001E-2</v>
      </c>
      <c r="F3" s="1">
        <v>13.7</v>
      </c>
      <c r="G3" s="1">
        <v>9.8000000000000007</v>
      </c>
    </row>
    <row r="4" spans="1:7" x14ac:dyDescent="0.55000000000000004">
      <c r="A4" s="6">
        <v>43112.386111111111</v>
      </c>
      <c r="B4" s="1">
        <v>400.8</v>
      </c>
      <c r="C4" s="1">
        <v>1.5</v>
      </c>
      <c r="D4" s="1">
        <v>4.66</v>
      </c>
      <c r="E4" s="1">
        <v>1.3979999999999999E-2</v>
      </c>
      <c r="F4" s="1">
        <v>13.7</v>
      </c>
      <c r="G4" s="1">
        <v>8.8000000000000007</v>
      </c>
    </row>
    <row r="5" spans="1:7" x14ac:dyDescent="0.55000000000000004">
      <c r="A5" s="6"/>
    </row>
    <row r="6" spans="1:7" x14ac:dyDescent="0.55000000000000004">
      <c r="A6" s="6">
        <v>43112.397222222222</v>
      </c>
      <c r="B6" s="1">
        <v>399.8</v>
      </c>
      <c r="C6" s="1">
        <v>1.5</v>
      </c>
      <c r="D6" s="1">
        <v>4.6500000000000004</v>
      </c>
      <c r="E6" s="1">
        <v>1.8600000000000002E-2</v>
      </c>
      <c r="F6" s="1">
        <v>13.6</v>
      </c>
      <c r="G6" s="1">
        <v>8.8000000000000007</v>
      </c>
    </row>
    <row r="7" spans="1:7" x14ac:dyDescent="0.55000000000000004">
      <c r="A7" s="6"/>
    </row>
    <row r="8" spans="1:7" x14ac:dyDescent="0.55000000000000004">
      <c r="A8" s="6">
        <v>43112.40625</v>
      </c>
      <c r="B8" s="1">
        <v>398.9</v>
      </c>
      <c r="C8" s="1">
        <v>1.8</v>
      </c>
      <c r="D8" s="1">
        <v>4.6399999999999997</v>
      </c>
      <c r="E8" s="1">
        <v>9.2800000000000001E-3</v>
      </c>
      <c r="F8" s="1">
        <v>14</v>
      </c>
      <c r="G8" s="1">
        <v>11.6</v>
      </c>
    </row>
    <row r="9" spans="1:7" x14ac:dyDescent="0.55000000000000004">
      <c r="A9" s="6">
        <v>43112.417361111111</v>
      </c>
      <c r="B9" s="1">
        <v>395.8</v>
      </c>
      <c r="C9" s="1">
        <v>1.6</v>
      </c>
      <c r="D9" s="1">
        <v>4.63</v>
      </c>
      <c r="E9" s="1">
        <v>1.8520000000000002E-2</v>
      </c>
      <c r="F9" s="1">
        <v>13.4</v>
      </c>
      <c r="G9" s="1">
        <v>10.3</v>
      </c>
    </row>
    <row r="10" spans="1:7" x14ac:dyDescent="0.55000000000000004">
      <c r="A10" s="6"/>
    </row>
    <row r="11" spans="1:7" x14ac:dyDescent="0.55000000000000004">
      <c r="A11" s="6">
        <v>43112.427777777775</v>
      </c>
      <c r="B11" s="1">
        <v>402.8</v>
      </c>
      <c r="C11" s="1">
        <v>1.2</v>
      </c>
      <c r="D11" s="1">
        <v>4.63</v>
      </c>
      <c r="E11" s="1">
        <v>1.389E-2</v>
      </c>
      <c r="F11" s="1">
        <v>15.1</v>
      </c>
      <c r="G11" s="1">
        <v>10.3</v>
      </c>
    </row>
    <row r="12" spans="1:7" x14ac:dyDescent="0.55000000000000004">
      <c r="A12" s="6">
        <v>43112.4375</v>
      </c>
      <c r="B12" s="1">
        <v>400.7</v>
      </c>
      <c r="C12" s="1">
        <v>1.6</v>
      </c>
      <c r="D12" s="1">
        <v>4.62</v>
      </c>
      <c r="E12" s="1">
        <v>9.2399999999999999E-3</v>
      </c>
      <c r="F12" s="1">
        <v>14.1</v>
      </c>
      <c r="G12" s="1">
        <v>11.3</v>
      </c>
    </row>
    <row r="13" spans="1:7" x14ac:dyDescent="0.55000000000000004">
      <c r="A13" s="6">
        <v>43112.447916666664</v>
      </c>
      <c r="B13" s="1">
        <v>399.4</v>
      </c>
      <c r="C13" s="1">
        <v>1.8</v>
      </c>
      <c r="D13" s="1">
        <v>4.62</v>
      </c>
      <c r="E13" s="1">
        <v>1.848E-2</v>
      </c>
      <c r="F13" s="1">
        <v>14.5</v>
      </c>
      <c r="G13" s="1">
        <v>10.7</v>
      </c>
    </row>
    <row r="14" spans="1:7" x14ac:dyDescent="0.55000000000000004">
      <c r="A14" s="6"/>
    </row>
    <row r="15" spans="1:7" x14ac:dyDescent="0.55000000000000004">
      <c r="A15" s="6">
        <v>43112.461111111108</v>
      </c>
      <c r="B15" s="1">
        <v>403</v>
      </c>
      <c r="C15" s="1">
        <v>1.2</v>
      </c>
      <c r="D15" s="1">
        <v>4.62</v>
      </c>
      <c r="E15" s="1">
        <v>1.3859999999999999E-2</v>
      </c>
      <c r="F15" s="1">
        <v>14.9</v>
      </c>
      <c r="G15" s="1">
        <v>7.8</v>
      </c>
    </row>
    <row r="16" spans="1:7" x14ac:dyDescent="0.55000000000000004">
      <c r="A16" s="6">
        <v>43112.46875</v>
      </c>
      <c r="B16" s="1">
        <v>396.9</v>
      </c>
      <c r="C16" s="1">
        <v>1.7</v>
      </c>
      <c r="D16" s="1">
        <v>4.6100000000000003</v>
      </c>
      <c r="E16" s="1">
        <v>9.2200000000000008E-3</v>
      </c>
      <c r="F16" s="1">
        <v>14</v>
      </c>
      <c r="G16" s="1">
        <v>10.7</v>
      </c>
    </row>
    <row r="17" spans="1:7" x14ac:dyDescent="0.55000000000000004">
      <c r="A17" s="6"/>
    </row>
    <row r="18" spans="1:7" x14ac:dyDescent="0.55000000000000004">
      <c r="A18" s="6">
        <v>43112.479861111111</v>
      </c>
      <c r="B18" s="1">
        <v>404.9</v>
      </c>
      <c r="C18" s="1">
        <v>1.2</v>
      </c>
      <c r="D18" s="1">
        <v>4.63</v>
      </c>
      <c r="E18" s="1">
        <v>1.389E-2</v>
      </c>
      <c r="F18" s="1">
        <v>15.9</v>
      </c>
      <c r="G18" s="1">
        <v>6.9</v>
      </c>
    </row>
    <row r="19" spans="1:7" x14ac:dyDescent="0.55000000000000004">
      <c r="A19" s="6">
        <v>43112.489583333336</v>
      </c>
      <c r="B19" s="1">
        <v>394.7</v>
      </c>
      <c r="C19" s="1">
        <v>1.7</v>
      </c>
      <c r="D19" s="1">
        <v>4.5999999999999996</v>
      </c>
      <c r="E19" s="1">
        <v>1.84E-2</v>
      </c>
      <c r="F19" s="1">
        <v>13.5</v>
      </c>
      <c r="G19" s="1">
        <v>10.3</v>
      </c>
    </row>
    <row r="20" spans="1:7" x14ac:dyDescent="0.55000000000000004">
      <c r="A20" s="6"/>
    </row>
    <row r="21" spans="1:7" x14ac:dyDescent="0.55000000000000004">
      <c r="A21" s="6">
        <v>43112.500694444447</v>
      </c>
      <c r="B21" s="1">
        <v>400.6</v>
      </c>
      <c r="C21" s="1">
        <v>1.4</v>
      </c>
      <c r="D21" s="1">
        <v>4.6100000000000003</v>
      </c>
      <c r="E21" s="1">
        <v>9.2200000000000008E-3</v>
      </c>
      <c r="F21" s="1">
        <v>15.9</v>
      </c>
      <c r="G21" s="1">
        <v>9</v>
      </c>
    </row>
    <row r="22" spans="1:7" x14ac:dyDescent="0.55000000000000004">
      <c r="A22" s="6">
        <v>43112.511111111111</v>
      </c>
      <c r="B22" s="1">
        <v>395.8</v>
      </c>
      <c r="C22" s="1">
        <v>1.3</v>
      </c>
      <c r="D22" s="1">
        <v>4.5999999999999996</v>
      </c>
      <c r="E22" s="1">
        <v>1.38E-2</v>
      </c>
      <c r="F22" s="1">
        <v>14.7</v>
      </c>
      <c r="G22" s="1">
        <v>7.8</v>
      </c>
    </row>
    <row r="23" spans="1:7" x14ac:dyDescent="0.55000000000000004">
      <c r="A23" s="6"/>
    </row>
    <row r="24" spans="1:7" x14ac:dyDescent="0.55000000000000004">
      <c r="A24" s="6">
        <v>43112.521527777775</v>
      </c>
      <c r="B24" s="1">
        <v>405.5</v>
      </c>
      <c r="C24" s="1">
        <v>1.2</v>
      </c>
      <c r="D24" s="1">
        <v>4.6100000000000003</v>
      </c>
      <c r="E24" s="1">
        <v>9.2200000000000008E-3</v>
      </c>
      <c r="F24" s="1">
        <v>16.7</v>
      </c>
      <c r="G24" s="1">
        <v>8.3000000000000007</v>
      </c>
    </row>
    <row r="25" spans="1:7" x14ac:dyDescent="0.55000000000000004">
      <c r="A25" s="6">
        <v>43112.531944444447</v>
      </c>
      <c r="B25" s="1">
        <v>405.9</v>
      </c>
      <c r="C25" s="1">
        <v>1.4</v>
      </c>
      <c r="D25" s="1">
        <v>4.6100000000000003</v>
      </c>
      <c r="E25" s="1">
        <v>9.2200000000000008E-3</v>
      </c>
      <c r="F25" s="1">
        <v>17.899999999999999</v>
      </c>
      <c r="G25" s="1">
        <v>8.9</v>
      </c>
    </row>
    <row r="26" spans="1:7" x14ac:dyDescent="0.55000000000000004">
      <c r="A26" s="6"/>
    </row>
    <row r="27" spans="1:7" x14ac:dyDescent="0.55000000000000004">
      <c r="A27" s="6">
        <v>43112.542361111111</v>
      </c>
      <c r="B27" s="1">
        <v>400.4</v>
      </c>
      <c r="C27" s="1">
        <v>1.2</v>
      </c>
      <c r="D27" s="1">
        <v>4.5999999999999996</v>
      </c>
      <c r="E27" s="1">
        <v>1.38E-2</v>
      </c>
      <c r="F27" s="1">
        <v>16.3</v>
      </c>
      <c r="G27" s="1">
        <v>5.8</v>
      </c>
    </row>
    <row r="28" spans="1:7" x14ac:dyDescent="0.55000000000000004">
      <c r="A28" s="6">
        <v>43112.554166666669</v>
      </c>
      <c r="B28" s="1">
        <v>398.7</v>
      </c>
      <c r="C28" s="1">
        <v>1.8</v>
      </c>
      <c r="D28" s="1">
        <v>4.5999999999999996</v>
      </c>
      <c r="E28" s="1">
        <v>9.1999999999999998E-3</v>
      </c>
      <c r="F28" s="1">
        <v>15.9</v>
      </c>
      <c r="G28" s="1">
        <v>10.199999999999999</v>
      </c>
    </row>
    <row r="29" spans="1:7" x14ac:dyDescent="0.55000000000000004">
      <c r="A29" s="6"/>
    </row>
    <row r="30" spans="1:7" x14ac:dyDescent="0.55000000000000004">
      <c r="A30" s="6">
        <v>43112.56527777778</v>
      </c>
      <c r="B30" s="1">
        <v>404</v>
      </c>
      <c r="C30" s="1">
        <v>1.7</v>
      </c>
      <c r="D30" s="1">
        <v>4.6100000000000003</v>
      </c>
      <c r="E30" s="1">
        <v>1.8440000000000002E-2</v>
      </c>
      <c r="F30" s="1">
        <v>17</v>
      </c>
      <c r="G30" s="1">
        <v>8.6999999999999993</v>
      </c>
    </row>
    <row r="31" spans="1:7" x14ac:dyDescent="0.55000000000000004">
      <c r="A31" s="6">
        <v>43112.575694444444</v>
      </c>
      <c r="B31" s="1">
        <v>397.2</v>
      </c>
      <c r="C31" s="1">
        <v>1.8</v>
      </c>
      <c r="D31" s="1">
        <v>4.5999999999999996</v>
      </c>
      <c r="E31" s="1">
        <v>1.38E-2</v>
      </c>
      <c r="F31" s="1">
        <v>15.8</v>
      </c>
      <c r="G31" s="1">
        <v>8.3000000000000007</v>
      </c>
    </row>
    <row r="32" spans="1:7" x14ac:dyDescent="0.55000000000000004">
      <c r="A32" s="6"/>
    </row>
    <row r="33" spans="1:7" x14ac:dyDescent="0.55000000000000004">
      <c r="A33" s="6">
        <v>43112.585416666669</v>
      </c>
      <c r="B33" s="1">
        <v>402</v>
      </c>
      <c r="C33" s="1">
        <v>1.6</v>
      </c>
      <c r="D33" s="1">
        <v>4.5999999999999996</v>
      </c>
      <c r="E33" s="1">
        <v>1.38E-2</v>
      </c>
      <c r="F33" s="1">
        <v>16.899999999999999</v>
      </c>
      <c r="G33" s="1">
        <v>9.3000000000000007</v>
      </c>
    </row>
    <row r="34" spans="1:7" x14ac:dyDescent="0.55000000000000004">
      <c r="A34" s="6">
        <v>43112.595833333333</v>
      </c>
      <c r="B34" s="1">
        <v>396.5</v>
      </c>
      <c r="C34" s="1">
        <v>1.5</v>
      </c>
      <c r="D34" s="1">
        <v>4.59</v>
      </c>
      <c r="E34" s="1">
        <v>1.3769999999999999E-2</v>
      </c>
      <c r="F34" s="1">
        <v>15.8</v>
      </c>
      <c r="G34" s="1">
        <v>11.6</v>
      </c>
    </row>
    <row r="35" spans="1:7" x14ac:dyDescent="0.55000000000000004">
      <c r="A35" s="6">
        <v>43112.606944444444</v>
      </c>
      <c r="B35" s="1">
        <v>405.4</v>
      </c>
      <c r="C35" s="1">
        <v>1.5</v>
      </c>
      <c r="D35" s="1">
        <v>4.6100000000000003</v>
      </c>
      <c r="E35" s="1">
        <v>1.383E-2</v>
      </c>
      <c r="F35" s="1">
        <v>18.2</v>
      </c>
      <c r="G35" s="1">
        <v>6.2</v>
      </c>
    </row>
    <row r="36" spans="1:7" x14ac:dyDescent="0.55000000000000004">
      <c r="A36" s="6">
        <v>43112.618055555555</v>
      </c>
      <c r="B36" s="1">
        <v>394</v>
      </c>
      <c r="C36" s="1">
        <v>1.4</v>
      </c>
      <c r="D36" s="1">
        <v>4.58</v>
      </c>
      <c r="E36" s="1">
        <v>1.3739999999999999E-2</v>
      </c>
      <c r="F36" s="1">
        <v>14.4</v>
      </c>
      <c r="G36" s="1">
        <v>8</v>
      </c>
    </row>
    <row r="37" spans="1:7" x14ac:dyDescent="0.55000000000000004">
      <c r="A37" s="6">
        <v>43112.628472222219</v>
      </c>
      <c r="B37" s="1">
        <v>399.9</v>
      </c>
      <c r="C37" s="1">
        <v>1.6</v>
      </c>
      <c r="D37" s="1">
        <v>4.59</v>
      </c>
      <c r="E37" s="1">
        <v>1.3769999999999999E-2</v>
      </c>
      <c r="F37" s="1">
        <v>15.4</v>
      </c>
      <c r="G37" s="1">
        <v>8.6999999999999993</v>
      </c>
    </row>
    <row r="38" spans="1:7" x14ac:dyDescent="0.55000000000000004">
      <c r="A38" s="6">
        <v>43112.638888888891</v>
      </c>
      <c r="B38" s="1">
        <v>402.9</v>
      </c>
      <c r="C38" s="1">
        <v>1.5</v>
      </c>
      <c r="D38" s="1">
        <v>4.5999999999999996</v>
      </c>
      <c r="E38" s="1">
        <v>1.84E-2</v>
      </c>
      <c r="F38" s="1">
        <v>15.8</v>
      </c>
      <c r="G38" s="1">
        <v>7.4</v>
      </c>
    </row>
    <row r="39" spans="1:7" x14ac:dyDescent="0.55000000000000004">
      <c r="A39" s="6">
        <v>43112.65</v>
      </c>
      <c r="B39" s="1">
        <v>394.4</v>
      </c>
      <c r="C39" s="1">
        <v>1.6</v>
      </c>
      <c r="D39" s="1">
        <v>4.5999999999999996</v>
      </c>
      <c r="E39" s="1">
        <v>1.38E-2</v>
      </c>
      <c r="F39" s="1">
        <v>13.2</v>
      </c>
      <c r="G39" s="1">
        <v>9.9</v>
      </c>
    </row>
    <row r="40" spans="1:7" x14ac:dyDescent="0.55000000000000004">
      <c r="A40" s="6">
        <v>43112.661111111112</v>
      </c>
      <c r="B40" s="1">
        <v>403.3</v>
      </c>
      <c r="C40" s="1">
        <v>1.2</v>
      </c>
      <c r="D40" s="1">
        <v>4.6100000000000003</v>
      </c>
      <c r="E40" s="1">
        <v>1.383E-2</v>
      </c>
      <c r="F40" s="1">
        <v>15.2</v>
      </c>
      <c r="G40" s="1">
        <v>7.9</v>
      </c>
    </row>
    <row r="41" spans="1:7" x14ac:dyDescent="0.55000000000000004">
      <c r="A41" s="6">
        <v>43112.671527777777</v>
      </c>
      <c r="B41" s="1">
        <v>397.6</v>
      </c>
      <c r="C41" s="1">
        <v>1.4</v>
      </c>
      <c r="D41" s="1">
        <v>4.5999999999999996</v>
      </c>
      <c r="E41" s="1">
        <v>1.38E-2</v>
      </c>
      <c r="F41" s="1">
        <v>14.9</v>
      </c>
      <c r="G41" s="1">
        <v>5.9</v>
      </c>
    </row>
    <row r="42" spans="1:7" x14ac:dyDescent="0.55000000000000004">
      <c r="A42" s="6">
        <v>43112.681944444441</v>
      </c>
      <c r="B42" s="1">
        <v>403.1</v>
      </c>
      <c r="C42" s="1">
        <v>1.3</v>
      </c>
      <c r="D42" s="1">
        <v>4.5999999999999996</v>
      </c>
      <c r="E42" s="1">
        <v>1.38E-2</v>
      </c>
      <c r="F42" s="1">
        <v>14.8</v>
      </c>
      <c r="G42" s="1">
        <v>6</v>
      </c>
    </row>
    <row r="43" spans="1:7" x14ac:dyDescent="0.55000000000000004">
      <c r="A43" s="6">
        <v>43112.692361111112</v>
      </c>
      <c r="B43" s="1">
        <v>398.2</v>
      </c>
      <c r="C43" s="1">
        <v>1.3</v>
      </c>
      <c r="D43" s="1">
        <v>4.59</v>
      </c>
      <c r="E43" s="1">
        <v>9.1800000000000007E-3</v>
      </c>
      <c r="F43" s="1">
        <v>14.6</v>
      </c>
      <c r="G43" s="1">
        <v>9.4</v>
      </c>
    </row>
    <row r="44" spans="1:7" x14ac:dyDescent="0.55000000000000004">
      <c r="A44" s="6">
        <v>43112.702777777777</v>
      </c>
      <c r="B44" s="1">
        <v>399.5</v>
      </c>
      <c r="C44" s="1">
        <v>1.5</v>
      </c>
      <c r="D44" s="1">
        <v>4.5999999999999996</v>
      </c>
      <c r="E44" s="1">
        <v>1.38E-2</v>
      </c>
      <c r="F44" s="1">
        <v>14.5</v>
      </c>
      <c r="G44" s="1">
        <v>9</v>
      </c>
    </row>
    <row r="45" spans="1:7" x14ac:dyDescent="0.55000000000000004">
      <c r="A45" s="6">
        <v>43112.713194444441</v>
      </c>
      <c r="B45" s="1">
        <v>401.1</v>
      </c>
      <c r="C45" s="1">
        <v>1.8</v>
      </c>
      <c r="D45" s="1">
        <v>4.6100000000000003</v>
      </c>
      <c r="E45" s="1">
        <v>1.8440000000000002E-2</v>
      </c>
      <c r="F45" s="1">
        <v>15</v>
      </c>
      <c r="G45" s="1">
        <v>10.8</v>
      </c>
    </row>
    <row r="46" spans="1:7" x14ac:dyDescent="0.55000000000000004">
      <c r="A46" s="6">
        <v>43112.723611111112</v>
      </c>
      <c r="B46" s="1">
        <v>397.8</v>
      </c>
      <c r="C46" s="1">
        <v>1.6</v>
      </c>
      <c r="D46" s="1">
        <v>4.5999999999999996</v>
      </c>
      <c r="E46" s="1">
        <v>1.38E-2</v>
      </c>
      <c r="F46" s="1">
        <v>13.5</v>
      </c>
      <c r="G46" s="1">
        <v>9.6</v>
      </c>
    </row>
    <row r="47" spans="1:7" x14ac:dyDescent="0.55000000000000004">
      <c r="A47" s="6">
        <v>43112.734722222223</v>
      </c>
      <c r="B47" s="1">
        <v>396.8</v>
      </c>
      <c r="C47" s="1">
        <v>1.8</v>
      </c>
      <c r="D47" s="1">
        <v>4.5999999999999996</v>
      </c>
      <c r="E47" s="1">
        <v>9.1999999999999998E-3</v>
      </c>
      <c r="F47" s="1">
        <v>14</v>
      </c>
      <c r="G47" s="1">
        <v>11.3</v>
      </c>
    </row>
    <row r="48" spans="1:7" x14ac:dyDescent="0.55000000000000004">
      <c r="A48" s="6">
        <v>43112.744444444441</v>
      </c>
      <c r="B48" s="1">
        <v>407.8</v>
      </c>
      <c r="C48" s="1">
        <v>1</v>
      </c>
      <c r="D48" s="1">
        <v>4.62</v>
      </c>
      <c r="E48" s="1">
        <v>1.3859999999999999E-2</v>
      </c>
      <c r="F48" s="1">
        <v>15.8</v>
      </c>
      <c r="G48" s="1">
        <v>5.7</v>
      </c>
    </row>
    <row r="49" spans="1:7" x14ac:dyDescent="0.55000000000000004">
      <c r="A49" s="6">
        <v>43112.754861111112</v>
      </c>
      <c r="B49" s="1">
        <v>395.3</v>
      </c>
      <c r="C49" s="1">
        <v>1.2</v>
      </c>
      <c r="D49" s="1">
        <v>4.5999999999999996</v>
      </c>
      <c r="E49" s="1">
        <v>9.1999999999999998E-3</v>
      </c>
      <c r="F49" s="1">
        <v>13.3</v>
      </c>
      <c r="G49" s="1">
        <v>6.1</v>
      </c>
    </row>
    <row r="50" spans="1:7" x14ac:dyDescent="0.55000000000000004">
      <c r="A50" s="6">
        <v>43112.765277777777</v>
      </c>
      <c r="B50" s="1">
        <v>396.9</v>
      </c>
      <c r="C50" s="1">
        <v>1.7</v>
      </c>
      <c r="D50" s="1">
        <v>4.5999999999999996</v>
      </c>
      <c r="E50" s="1">
        <v>1.38E-2</v>
      </c>
      <c r="F50" s="1">
        <v>13.5</v>
      </c>
      <c r="G50" s="1">
        <v>9.9</v>
      </c>
    </row>
    <row r="51" spans="1:7" x14ac:dyDescent="0.55000000000000004">
      <c r="A51" s="6">
        <v>43112.775694444441</v>
      </c>
      <c r="B51" s="1">
        <v>404.4</v>
      </c>
      <c r="C51" s="1">
        <v>1.2</v>
      </c>
      <c r="D51" s="1">
        <v>4.6100000000000003</v>
      </c>
      <c r="E51" s="1">
        <v>1.383E-2</v>
      </c>
      <c r="F51" s="1">
        <v>15.1</v>
      </c>
      <c r="G51" s="1">
        <v>7.6</v>
      </c>
    </row>
    <row r="52" spans="1:7" x14ac:dyDescent="0.55000000000000004">
      <c r="A52" s="6">
        <v>43112.840277777781</v>
      </c>
      <c r="B52" s="1">
        <v>400.2</v>
      </c>
      <c r="C52" s="1">
        <v>1.9</v>
      </c>
      <c r="D52" s="1">
        <v>4.62</v>
      </c>
      <c r="E52" s="1">
        <v>1.848E-2</v>
      </c>
      <c r="F52" s="1">
        <v>13.8</v>
      </c>
      <c r="G52" s="1">
        <v>9.9</v>
      </c>
    </row>
    <row r="53" spans="1:7" x14ac:dyDescent="0.55000000000000004">
      <c r="A53" s="6">
        <v>43112.884722222225</v>
      </c>
      <c r="B53" s="1">
        <v>397.5</v>
      </c>
      <c r="C53" s="1">
        <v>1.5</v>
      </c>
      <c r="D53" s="1">
        <v>4.63</v>
      </c>
      <c r="E53" s="1">
        <v>1.8520000000000002E-2</v>
      </c>
      <c r="F53" s="1">
        <v>13.2</v>
      </c>
      <c r="G53" s="1">
        <v>10</v>
      </c>
    </row>
    <row r="54" spans="1:7" x14ac:dyDescent="0.55000000000000004">
      <c r="A54" s="6"/>
    </row>
    <row r="55" spans="1:7" x14ac:dyDescent="0.55000000000000004">
      <c r="A55" s="6">
        <v>43112.898611111108</v>
      </c>
      <c r="B55" s="1">
        <v>398.8</v>
      </c>
      <c r="C55" s="1">
        <v>1.4</v>
      </c>
      <c r="D55" s="1">
        <v>4.63</v>
      </c>
      <c r="E55" s="1">
        <v>1.389E-2</v>
      </c>
      <c r="F55" s="1">
        <v>13.7</v>
      </c>
      <c r="G55" s="1">
        <v>9</v>
      </c>
    </row>
    <row r="56" spans="1:7" x14ac:dyDescent="0.55000000000000004">
      <c r="A56" s="6">
        <v>43112.909722222219</v>
      </c>
      <c r="B56" s="1">
        <v>402.2</v>
      </c>
      <c r="C56" s="1">
        <v>1.3</v>
      </c>
      <c r="D56" s="1">
        <v>4.63</v>
      </c>
      <c r="E56" s="1">
        <v>9.2600000000000009E-3</v>
      </c>
      <c r="F56" s="1">
        <v>14.3</v>
      </c>
      <c r="G56" s="1">
        <v>8</v>
      </c>
    </row>
    <row r="57" spans="1:7" x14ac:dyDescent="0.55000000000000004">
      <c r="A57" s="6">
        <v>43112.919444444444</v>
      </c>
      <c r="B57" s="1">
        <v>399.6</v>
      </c>
      <c r="C57" s="1">
        <v>1.9</v>
      </c>
      <c r="D57" s="1">
        <v>4.63</v>
      </c>
      <c r="E57" s="1">
        <v>1.389E-2</v>
      </c>
      <c r="F57" s="1">
        <v>14</v>
      </c>
      <c r="G57" s="1">
        <v>11.4</v>
      </c>
    </row>
    <row r="58" spans="1:7" x14ac:dyDescent="0.55000000000000004">
      <c r="A58" s="6">
        <v>43112.930555555555</v>
      </c>
      <c r="B58" s="1">
        <v>404.5</v>
      </c>
      <c r="C58" s="1">
        <v>1.5</v>
      </c>
      <c r="D58" s="1">
        <v>4.63</v>
      </c>
      <c r="E58" s="1">
        <v>1.389E-2</v>
      </c>
      <c r="F58" s="1">
        <v>14.4</v>
      </c>
      <c r="G58" s="1">
        <v>8.1999999999999993</v>
      </c>
    </row>
    <row r="59" spans="1:7" x14ac:dyDescent="0.55000000000000004">
      <c r="A59" s="6">
        <v>43112.940972222219</v>
      </c>
      <c r="B59" s="1">
        <v>396.2</v>
      </c>
      <c r="C59" s="1">
        <v>1.4</v>
      </c>
      <c r="D59" s="1">
        <v>4.6100000000000003</v>
      </c>
      <c r="E59" s="1">
        <v>9.2200000000000008E-3</v>
      </c>
      <c r="F59" s="1">
        <v>12.2</v>
      </c>
      <c r="G59" s="1">
        <v>11.4</v>
      </c>
    </row>
    <row r="60" spans="1:7" x14ac:dyDescent="0.55000000000000004">
      <c r="A60" s="6">
        <v>43112.950694444444</v>
      </c>
      <c r="B60" s="1">
        <v>403.2</v>
      </c>
      <c r="C60" s="1">
        <v>1.2</v>
      </c>
      <c r="D60" s="1">
        <v>4.63</v>
      </c>
      <c r="E60" s="1">
        <v>1.389E-2</v>
      </c>
      <c r="F60" s="1">
        <v>14.7</v>
      </c>
      <c r="G60" s="1">
        <v>8.6</v>
      </c>
    </row>
    <row r="61" spans="1:7" x14ac:dyDescent="0.55000000000000004">
      <c r="A61" s="6">
        <v>43112.961805555555</v>
      </c>
      <c r="B61" s="1">
        <v>397.4</v>
      </c>
      <c r="C61" s="1">
        <v>1</v>
      </c>
      <c r="D61" s="1">
        <v>4.62</v>
      </c>
      <c r="E61" s="1">
        <v>9.2399999999999999E-3</v>
      </c>
      <c r="F61" s="1">
        <v>13.2</v>
      </c>
      <c r="G61" s="1">
        <v>6.9</v>
      </c>
    </row>
    <row r="62" spans="1:7" x14ac:dyDescent="0.55000000000000004">
      <c r="A62" s="6">
        <v>43112.972222222219</v>
      </c>
      <c r="B62" s="1">
        <v>401.8</v>
      </c>
      <c r="C62" s="1">
        <v>1.4</v>
      </c>
      <c r="D62" s="1">
        <v>4.63</v>
      </c>
      <c r="E62" s="1">
        <v>9.2600000000000009E-3</v>
      </c>
      <c r="F62" s="1">
        <v>14.3</v>
      </c>
      <c r="G62" s="1">
        <v>7.6</v>
      </c>
    </row>
    <row r="63" spans="1:7" x14ac:dyDescent="0.55000000000000004">
      <c r="A63" s="6">
        <v>43112.982638888891</v>
      </c>
      <c r="B63" s="1">
        <v>398.9</v>
      </c>
      <c r="C63" s="1">
        <v>1.4</v>
      </c>
      <c r="D63" s="1">
        <v>4.62</v>
      </c>
      <c r="E63" s="1">
        <v>1.3859999999999999E-2</v>
      </c>
      <c r="F63" s="1">
        <v>13.9</v>
      </c>
      <c r="G63" s="1">
        <v>7.9</v>
      </c>
    </row>
    <row r="64" spans="1:7" x14ac:dyDescent="0.55000000000000004">
      <c r="A64" s="6">
        <v>43112.993055555555</v>
      </c>
      <c r="B64" s="1">
        <v>400.6</v>
      </c>
      <c r="C64" s="1">
        <v>1.3</v>
      </c>
      <c r="D64" s="1">
        <v>4.63</v>
      </c>
      <c r="E64" s="1">
        <v>9.2600000000000009E-3</v>
      </c>
      <c r="F64" s="1">
        <v>14.4</v>
      </c>
      <c r="G64" s="1">
        <v>7.6</v>
      </c>
    </row>
    <row r="65" spans="1:7" x14ac:dyDescent="0.55000000000000004">
      <c r="A65" s="6">
        <v>43113.003472222219</v>
      </c>
      <c r="B65" s="1">
        <v>397.4</v>
      </c>
      <c r="C65" s="1">
        <v>2</v>
      </c>
      <c r="D65" s="1">
        <v>4.62</v>
      </c>
      <c r="E65" s="1">
        <v>1.848E-2</v>
      </c>
      <c r="F65" s="1">
        <v>13.5</v>
      </c>
      <c r="G65" s="1">
        <v>11.2</v>
      </c>
    </row>
    <row r="66" spans="1:7" x14ac:dyDescent="0.55000000000000004">
      <c r="A66" s="6">
        <v>43113.017361111109</v>
      </c>
      <c r="B66" s="1">
        <v>402.4</v>
      </c>
      <c r="C66" s="1">
        <v>1.8</v>
      </c>
      <c r="D66" s="1">
        <v>4.63</v>
      </c>
      <c r="E66" s="1">
        <v>1.389E-2</v>
      </c>
      <c r="F66" s="1">
        <v>14.9</v>
      </c>
      <c r="G66" s="1">
        <v>9.1</v>
      </c>
    </row>
    <row r="67" spans="1:7" x14ac:dyDescent="0.55000000000000004">
      <c r="A67" s="6">
        <v>43113.030555555553</v>
      </c>
      <c r="B67" s="1">
        <v>406</v>
      </c>
      <c r="C67" s="1">
        <v>1.1000000000000001</v>
      </c>
      <c r="D67" s="1">
        <v>4.63</v>
      </c>
      <c r="E67" s="1">
        <v>9.2600000000000009E-3</v>
      </c>
      <c r="F67" s="1">
        <v>15.1</v>
      </c>
      <c r="G67" s="1">
        <v>6.1</v>
      </c>
    </row>
    <row r="68" spans="1:7" x14ac:dyDescent="0.55000000000000004">
      <c r="A68" s="6">
        <v>43113.040277777778</v>
      </c>
      <c r="B68" s="1">
        <v>397.4</v>
      </c>
      <c r="C68" s="1">
        <v>1.6</v>
      </c>
      <c r="D68" s="1">
        <v>4.62</v>
      </c>
      <c r="E68" s="1">
        <v>1.3859999999999999E-2</v>
      </c>
      <c r="F68" s="1">
        <v>13.6</v>
      </c>
      <c r="G68" s="1">
        <v>8.1</v>
      </c>
    </row>
    <row r="69" spans="1:7" x14ac:dyDescent="0.55000000000000004">
      <c r="A69" s="6">
        <v>43113.050694444442</v>
      </c>
      <c r="B69" s="1">
        <v>392.3</v>
      </c>
      <c r="C69" s="1">
        <v>1</v>
      </c>
      <c r="D69" s="1">
        <v>4.6100000000000003</v>
      </c>
      <c r="E69" s="1">
        <v>9.2200000000000008E-3</v>
      </c>
      <c r="F69" s="1">
        <v>12.3</v>
      </c>
      <c r="G69" s="1">
        <v>7.1</v>
      </c>
    </row>
    <row r="70" spans="1:7" x14ac:dyDescent="0.55000000000000004">
      <c r="A70" s="6">
        <v>43113.061111111114</v>
      </c>
      <c r="B70" s="1">
        <v>405.1</v>
      </c>
      <c r="C70" s="1">
        <v>1.2</v>
      </c>
      <c r="D70" s="1">
        <v>4.6399999999999997</v>
      </c>
      <c r="E70" s="1">
        <v>1.856E-2</v>
      </c>
      <c r="F70" s="1">
        <v>15.3</v>
      </c>
      <c r="G70" s="1">
        <v>12.4</v>
      </c>
    </row>
    <row r="71" spans="1:7" x14ac:dyDescent="0.55000000000000004">
      <c r="A71" s="6">
        <v>43113.071527777778</v>
      </c>
      <c r="B71" s="1">
        <v>396.3</v>
      </c>
      <c r="C71" s="1">
        <v>1.5</v>
      </c>
      <c r="D71" s="1">
        <v>4.62</v>
      </c>
      <c r="E71" s="1">
        <v>2.3099999999999999E-2</v>
      </c>
      <c r="F71" s="1">
        <v>13.1</v>
      </c>
      <c r="G71" s="1">
        <v>7.1</v>
      </c>
    </row>
    <row r="72" spans="1:7" x14ac:dyDescent="0.55000000000000004">
      <c r="A72" s="6">
        <v>43113.081944444442</v>
      </c>
      <c r="B72" s="1">
        <v>402.4</v>
      </c>
      <c r="C72" s="1">
        <v>1.1000000000000001</v>
      </c>
      <c r="D72" s="1">
        <v>4.63</v>
      </c>
      <c r="E72" s="1">
        <v>1.389E-2</v>
      </c>
      <c r="F72" s="1">
        <v>13.9</v>
      </c>
      <c r="G72" s="1">
        <v>6.2</v>
      </c>
    </row>
    <row r="73" spans="1:7" x14ac:dyDescent="0.55000000000000004">
      <c r="A73" s="6">
        <v>43113.092361111114</v>
      </c>
      <c r="B73" s="1">
        <v>402.1</v>
      </c>
      <c r="C73" s="1">
        <v>1.1000000000000001</v>
      </c>
      <c r="D73" s="1">
        <v>4.63</v>
      </c>
      <c r="E73" s="1">
        <v>1.389E-2</v>
      </c>
      <c r="F73" s="1">
        <v>14.1</v>
      </c>
      <c r="G73" s="1">
        <v>7.6</v>
      </c>
    </row>
    <row r="74" spans="1:7" x14ac:dyDescent="0.55000000000000004">
      <c r="A74" s="6">
        <v>43113.113888888889</v>
      </c>
      <c r="B74" s="1">
        <v>398.3</v>
      </c>
      <c r="C74" s="1">
        <v>1.2</v>
      </c>
      <c r="D74" s="1">
        <v>4.62</v>
      </c>
      <c r="E74" s="1">
        <v>1.848E-2</v>
      </c>
      <c r="F74" s="1">
        <v>13.3</v>
      </c>
      <c r="G74" s="1">
        <v>6.7</v>
      </c>
    </row>
    <row r="75" spans="1:7" x14ac:dyDescent="0.55000000000000004">
      <c r="A75" s="6">
        <v>43113.125</v>
      </c>
      <c r="B75" s="1">
        <v>398.1</v>
      </c>
      <c r="C75" s="1">
        <v>1.5</v>
      </c>
      <c r="D75" s="1">
        <v>4.62</v>
      </c>
      <c r="E75" s="1">
        <v>1.3859999999999999E-2</v>
      </c>
      <c r="F75" s="1">
        <v>13.3</v>
      </c>
      <c r="G75" s="1">
        <v>8.1999999999999993</v>
      </c>
    </row>
    <row r="76" spans="1:7" x14ac:dyDescent="0.55000000000000004">
      <c r="A76" s="6">
        <v>43113.134722222225</v>
      </c>
      <c r="B76" s="1">
        <v>402.8</v>
      </c>
      <c r="C76" s="1">
        <v>1</v>
      </c>
      <c r="D76" s="1">
        <v>4.63</v>
      </c>
      <c r="E76" s="1">
        <v>9.2600000000000009E-3</v>
      </c>
      <c r="F76" s="1">
        <v>14.1</v>
      </c>
      <c r="G76" s="1">
        <v>7.8</v>
      </c>
    </row>
    <row r="77" spans="1:7" x14ac:dyDescent="0.55000000000000004">
      <c r="A77" s="6">
        <v>43113.206944444442</v>
      </c>
      <c r="B77" s="1">
        <v>404.8</v>
      </c>
      <c r="C77" s="1">
        <v>1.2</v>
      </c>
      <c r="D77" s="1">
        <v>4.6500000000000004</v>
      </c>
      <c r="E77" s="1">
        <v>1.3950000000000001E-2</v>
      </c>
      <c r="F77" s="1">
        <v>14</v>
      </c>
      <c r="G77" s="1">
        <v>6.5</v>
      </c>
    </row>
    <row r="78" spans="1:7" x14ac:dyDescent="0.55000000000000004">
      <c r="A78" s="6">
        <v>43113.21875</v>
      </c>
      <c r="B78" s="1">
        <v>398.5</v>
      </c>
      <c r="C78" s="1">
        <v>1</v>
      </c>
      <c r="D78" s="1">
        <v>4.63</v>
      </c>
      <c r="E78" s="1">
        <v>4.6300000000000004E-3</v>
      </c>
      <c r="F78" s="1">
        <v>12.9</v>
      </c>
      <c r="G78" s="1">
        <v>9.3000000000000007</v>
      </c>
    </row>
    <row r="79" spans="1:7" x14ac:dyDescent="0.55000000000000004">
      <c r="A79" s="6"/>
    </row>
    <row r="80" spans="1:7" x14ac:dyDescent="0.55000000000000004">
      <c r="A80" s="6">
        <v>43113.232638888891</v>
      </c>
      <c r="B80" s="1">
        <v>392.3</v>
      </c>
      <c r="C80" s="1">
        <v>1.1000000000000001</v>
      </c>
      <c r="D80" s="1">
        <v>4.63</v>
      </c>
      <c r="E80" s="1">
        <v>9.2600000000000009E-3</v>
      </c>
      <c r="F80" s="1">
        <v>12</v>
      </c>
      <c r="G80" s="1">
        <v>7.7</v>
      </c>
    </row>
    <row r="81" spans="1:7" x14ac:dyDescent="0.55000000000000004">
      <c r="A81" s="6">
        <v>43113.243055555555</v>
      </c>
      <c r="B81" s="1">
        <v>400.7</v>
      </c>
      <c r="C81" s="1">
        <v>1.7</v>
      </c>
      <c r="D81" s="1">
        <v>4.63</v>
      </c>
      <c r="E81" s="1">
        <v>9.2600000000000009E-3</v>
      </c>
      <c r="F81" s="1">
        <v>13.7</v>
      </c>
      <c r="G81" s="1">
        <v>13.6</v>
      </c>
    </row>
    <row r="82" spans="1:7" x14ac:dyDescent="0.55000000000000004">
      <c r="A82" s="6">
        <v>43113.253472222219</v>
      </c>
      <c r="B82" s="1">
        <v>401.2</v>
      </c>
      <c r="C82" s="1">
        <v>1.3</v>
      </c>
      <c r="D82" s="1">
        <v>4.63</v>
      </c>
      <c r="E82" s="1">
        <v>9.2600000000000009E-3</v>
      </c>
      <c r="F82" s="1">
        <v>13.8</v>
      </c>
      <c r="G82" s="1">
        <v>8.6999999999999993</v>
      </c>
    </row>
    <row r="83" spans="1:7" x14ac:dyDescent="0.55000000000000004">
      <c r="A83" s="6">
        <v>43113.263888888891</v>
      </c>
      <c r="B83" s="1">
        <v>404.6</v>
      </c>
      <c r="C83" s="1">
        <v>0.8</v>
      </c>
      <c r="D83" s="1">
        <v>4.6399999999999997</v>
      </c>
      <c r="E83" s="1">
        <v>9.2800000000000001E-3</v>
      </c>
      <c r="F83" s="1">
        <v>14</v>
      </c>
      <c r="G83" s="1">
        <v>6.2</v>
      </c>
    </row>
    <row r="84" spans="1:7" x14ac:dyDescent="0.55000000000000004">
      <c r="A84" s="6">
        <v>43113.274305555555</v>
      </c>
      <c r="B84" s="1">
        <v>396.9</v>
      </c>
      <c r="C84" s="1">
        <v>1.2</v>
      </c>
      <c r="D84" s="1">
        <v>4.63</v>
      </c>
      <c r="E84" s="1">
        <v>1.389E-2</v>
      </c>
      <c r="F84" s="1">
        <v>12.9</v>
      </c>
      <c r="G84" s="1">
        <v>7.8</v>
      </c>
    </row>
    <row r="85" spans="1:7" x14ac:dyDescent="0.55000000000000004">
      <c r="A85" s="6"/>
    </row>
    <row r="86" spans="1:7" x14ac:dyDescent="0.55000000000000004">
      <c r="A86" s="6">
        <v>43113.28402777778</v>
      </c>
      <c r="B86" s="1">
        <v>401.6</v>
      </c>
      <c r="C86" s="1">
        <v>1.4</v>
      </c>
      <c r="D86" s="1">
        <v>4.63</v>
      </c>
      <c r="E86" s="1">
        <v>9.2600000000000009E-3</v>
      </c>
      <c r="F86" s="1">
        <v>13.5</v>
      </c>
      <c r="G86" s="1">
        <v>8</v>
      </c>
    </row>
    <row r="87" spans="1:7" x14ac:dyDescent="0.55000000000000004">
      <c r="A87" s="6">
        <v>43113.297222222223</v>
      </c>
      <c r="B87" s="1">
        <v>398.3</v>
      </c>
      <c r="C87" s="1">
        <v>1.2</v>
      </c>
      <c r="D87" s="1">
        <v>4.62</v>
      </c>
      <c r="E87" s="1">
        <v>1.3859999999999999E-2</v>
      </c>
      <c r="F87" s="1">
        <v>13.1</v>
      </c>
      <c r="G87" s="1">
        <v>6.4</v>
      </c>
    </row>
    <row r="88" spans="1:7" x14ac:dyDescent="0.55000000000000004">
      <c r="A88" s="6">
        <v>43113.308333333334</v>
      </c>
      <c r="B88" s="1">
        <v>401.4</v>
      </c>
      <c r="C88" s="1">
        <v>0.9</v>
      </c>
      <c r="D88" s="1">
        <v>4.63</v>
      </c>
      <c r="E88" s="1">
        <v>9.2600000000000009E-3</v>
      </c>
      <c r="F88" s="1">
        <v>13.4</v>
      </c>
      <c r="G88" s="1">
        <v>5.0999999999999996</v>
      </c>
    </row>
    <row r="89" spans="1:7" x14ac:dyDescent="0.55000000000000004">
      <c r="A89" s="6">
        <v>43113.318055555559</v>
      </c>
      <c r="B89" s="1">
        <v>398.9</v>
      </c>
      <c r="C89" s="1">
        <v>1</v>
      </c>
      <c r="D89" s="1">
        <v>4.63</v>
      </c>
      <c r="E89" s="1">
        <v>1.389E-2</v>
      </c>
      <c r="F89" s="1">
        <v>13.3</v>
      </c>
      <c r="G89" s="1">
        <v>5.5</v>
      </c>
    </row>
    <row r="90" spans="1:7" x14ac:dyDescent="0.55000000000000004">
      <c r="A90" s="6">
        <v>43113.32916666667</v>
      </c>
      <c r="B90" s="1">
        <v>397.3</v>
      </c>
      <c r="C90" s="1">
        <v>1.2</v>
      </c>
      <c r="D90" s="1">
        <v>4.63</v>
      </c>
      <c r="E90" s="1">
        <v>9.2600000000000009E-3</v>
      </c>
      <c r="F90" s="1">
        <v>12.9</v>
      </c>
      <c r="G90" s="1">
        <v>7.9</v>
      </c>
    </row>
    <row r="91" spans="1:7" x14ac:dyDescent="0.55000000000000004">
      <c r="A91" s="6">
        <v>43113.340277777781</v>
      </c>
      <c r="B91" s="1">
        <v>401</v>
      </c>
      <c r="C91" s="1">
        <v>1.3</v>
      </c>
      <c r="D91" s="1">
        <v>4.63</v>
      </c>
      <c r="E91" s="1">
        <v>9.2600000000000009E-3</v>
      </c>
      <c r="F91" s="1">
        <v>13.7</v>
      </c>
      <c r="G91" s="1">
        <v>9.1999999999999993</v>
      </c>
    </row>
    <row r="92" spans="1:7" x14ac:dyDescent="0.55000000000000004">
      <c r="A92" s="6">
        <v>43113.350694444445</v>
      </c>
      <c r="B92" s="1">
        <v>399.8</v>
      </c>
      <c r="C92" s="1">
        <v>1.8</v>
      </c>
      <c r="D92" s="1">
        <v>4.62</v>
      </c>
      <c r="E92" s="1">
        <v>1.3859999999999999E-2</v>
      </c>
      <c r="F92" s="1">
        <v>13.5</v>
      </c>
      <c r="G92" s="1">
        <v>11.8</v>
      </c>
    </row>
    <row r="93" spans="1:7" x14ac:dyDescent="0.55000000000000004">
      <c r="A93" s="6"/>
    </row>
    <row r="94" spans="1:7" x14ac:dyDescent="0.55000000000000004">
      <c r="A94" s="6"/>
    </row>
    <row r="95" spans="1:7" x14ac:dyDescent="0.55000000000000004">
      <c r="A95" s="6">
        <v>43113.36041666667</v>
      </c>
      <c r="B95" s="1">
        <v>400.9</v>
      </c>
      <c r="C95" s="1">
        <v>1.2</v>
      </c>
      <c r="D95" s="1">
        <v>4.62</v>
      </c>
      <c r="E95" s="1">
        <v>9.2399999999999999E-3</v>
      </c>
      <c r="F95" s="1">
        <v>13.5</v>
      </c>
      <c r="G95" s="1">
        <v>6.7</v>
      </c>
    </row>
    <row r="96" spans="1:7" x14ac:dyDescent="0.55000000000000004">
      <c r="A96" s="6">
        <v>43113.370833333334</v>
      </c>
      <c r="B96" s="1">
        <v>403.1</v>
      </c>
      <c r="C96" s="1">
        <v>0.9</v>
      </c>
      <c r="D96" s="1">
        <v>4.63</v>
      </c>
      <c r="E96" s="1">
        <v>1.389E-2</v>
      </c>
      <c r="F96" s="1">
        <v>13.8</v>
      </c>
      <c r="G96" s="1">
        <v>5.5</v>
      </c>
    </row>
    <row r="97" spans="1:7" x14ac:dyDescent="0.55000000000000004">
      <c r="A97" s="6">
        <v>43113.381249999999</v>
      </c>
      <c r="B97" s="1">
        <v>396.6</v>
      </c>
      <c r="C97" s="1">
        <v>1.4</v>
      </c>
      <c r="D97" s="1">
        <v>4.6100000000000003</v>
      </c>
      <c r="E97" s="1">
        <v>9.2200000000000008E-3</v>
      </c>
      <c r="F97" s="1">
        <v>13.3</v>
      </c>
      <c r="G97" s="1">
        <v>10.5</v>
      </c>
    </row>
    <row r="98" spans="1:7" x14ac:dyDescent="0.55000000000000004">
      <c r="A98" s="6">
        <v>43113.390972222223</v>
      </c>
      <c r="B98" s="1">
        <v>401</v>
      </c>
      <c r="C98" s="1">
        <v>1.5</v>
      </c>
      <c r="D98" s="1">
        <v>4.63</v>
      </c>
      <c r="E98" s="1">
        <v>1.8520000000000002E-2</v>
      </c>
      <c r="F98" s="1">
        <v>13.8</v>
      </c>
      <c r="G98" s="1">
        <v>8.4</v>
      </c>
    </row>
    <row r="99" spans="1:7" x14ac:dyDescent="0.55000000000000004">
      <c r="A99" s="6">
        <v>43113.402083333334</v>
      </c>
      <c r="B99" s="1">
        <v>401.2</v>
      </c>
      <c r="C99" s="1">
        <v>1</v>
      </c>
      <c r="D99" s="1">
        <v>4.62</v>
      </c>
      <c r="E99" s="1">
        <v>1.3859999999999999E-2</v>
      </c>
      <c r="F99" s="1">
        <v>13.9</v>
      </c>
      <c r="G99" s="1">
        <v>6.3</v>
      </c>
    </row>
    <row r="100" spans="1:7" x14ac:dyDescent="0.55000000000000004">
      <c r="A100" s="6">
        <v>43113.411805555559</v>
      </c>
      <c r="B100" s="1">
        <v>399.6</v>
      </c>
      <c r="C100" s="1">
        <v>1.4</v>
      </c>
      <c r="D100" s="1">
        <v>4.62</v>
      </c>
      <c r="E100" s="1">
        <v>9.2399999999999999E-3</v>
      </c>
      <c r="F100" s="1">
        <v>13.6</v>
      </c>
      <c r="G100" s="1">
        <v>8.8000000000000007</v>
      </c>
    </row>
    <row r="101" spans="1:7" x14ac:dyDescent="0.55000000000000004">
      <c r="A101" s="6">
        <v>43113.42291666667</v>
      </c>
      <c r="B101" s="1">
        <v>401</v>
      </c>
      <c r="C101" s="1">
        <v>1.7</v>
      </c>
      <c r="D101" s="1">
        <v>4.62</v>
      </c>
      <c r="E101" s="1">
        <v>1.848E-2</v>
      </c>
      <c r="F101" s="1">
        <v>13.4</v>
      </c>
      <c r="G101" s="1">
        <v>8.8000000000000007</v>
      </c>
    </row>
    <row r="102" spans="1:7" x14ac:dyDescent="0.55000000000000004">
      <c r="A102" s="6">
        <v>43113.431944444441</v>
      </c>
      <c r="B102" s="1">
        <v>396</v>
      </c>
      <c r="C102" s="1">
        <v>1.2</v>
      </c>
      <c r="D102" s="1">
        <v>4.6100000000000003</v>
      </c>
      <c r="E102" s="1">
        <v>9.2200000000000008E-3</v>
      </c>
      <c r="F102" s="1">
        <v>13.2</v>
      </c>
      <c r="G102" s="1">
        <v>7.3</v>
      </c>
    </row>
    <row r="103" spans="1:7" x14ac:dyDescent="0.55000000000000004">
      <c r="A103" s="6">
        <v>43113.453472222223</v>
      </c>
      <c r="B103" s="1">
        <v>403</v>
      </c>
      <c r="C103" s="1">
        <v>1.6</v>
      </c>
      <c r="D103" s="1">
        <v>4.63</v>
      </c>
      <c r="E103" s="1">
        <v>1.389E-2</v>
      </c>
      <c r="F103" s="1">
        <v>14.5</v>
      </c>
      <c r="G103" s="1">
        <v>10.1</v>
      </c>
    </row>
    <row r="104" spans="1:7" x14ac:dyDescent="0.55000000000000004">
      <c r="A104" s="6">
        <v>43113.463888888888</v>
      </c>
      <c r="B104" s="1">
        <v>399.4</v>
      </c>
      <c r="C104" s="1">
        <v>1.3</v>
      </c>
      <c r="D104" s="1">
        <v>4.62</v>
      </c>
      <c r="E104" s="1">
        <v>9.2399999999999999E-3</v>
      </c>
      <c r="F104" s="1">
        <v>13.6</v>
      </c>
      <c r="G104" s="1">
        <v>9.6</v>
      </c>
    </row>
    <row r="105" spans="1:7" x14ac:dyDescent="0.55000000000000004">
      <c r="A105" s="6">
        <v>43113.474305555559</v>
      </c>
      <c r="B105" s="1">
        <v>394.7</v>
      </c>
      <c r="C105" s="1">
        <v>0.8</v>
      </c>
      <c r="D105" s="1">
        <v>4.6100000000000003</v>
      </c>
      <c r="E105" s="1">
        <v>9.2200000000000008E-3</v>
      </c>
      <c r="F105" s="1">
        <v>12.9</v>
      </c>
      <c r="G105" s="1">
        <v>6</v>
      </c>
    </row>
    <row r="106" spans="1:7" x14ac:dyDescent="0.55000000000000004">
      <c r="A106" s="6">
        <v>43113.48541666667</v>
      </c>
      <c r="B106" s="1">
        <v>402.1</v>
      </c>
      <c r="C106" s="1">
        <v>1.2</v>
      </c>
      <c r="D106" s="1">
        <v>4.62</v>
      </c>
      <c r="E106" s="1">
        <v>9.2399999999999999E-3</v>
      </c>
      <c r="F106" s="1">
        <v>14.8</v>
      </c>
      <c r="G106" s="1">
        <v>5.6</v>
      </c>
    </row>
    <row r="107" spans="1:7" x14ac:dyDescent="0.55000000000000004">
      <c r="A107" s="6">
        <v>43113.495833333334</v>
      </c>
      <c r="B107" s="1">
        <v>400.1</v>
      </c>
      <c r="C107" s="1">
        <v>1.4</v>
      </c>
      <c r="D107" s="1">
        <v>4.62</v>
      </c>
      <c r="E107" s="1">
        <v>1.848E-2</v>
      </c>
      <c r="F107" s="1">
        <v>14.1</v>
      </c>
      <c r="G107" s="1">
        <v>8.6999999999999993</v>
      </c>
    </row>
    <row r="108" spans="1:7" x14ac:dyDescent="0.55000000000000004">
      <c r="A108" s="6">
        <v>43113.506249999999</v>
      </c>
      <c r="B108" s="1">
        <v>403.4</v>
      </c>
      <c r="C108" s="1">
        <v>1.2</v>
      </c>
      <c r="D108" s="1">
        <v>4.62</v>
      </c>
      <c r="E108" s="1">
        <v>1.3859999999999999E-2</v>
      </c>
      <c r="F108" s="1">
        <v>14.5</v>
      </c>
      <c r="G108" s="1">
        <v>6.6</v>
      </c>
    </row>
    <row r="109" spans="1:7" x14ac:dyDescent="0.55000000000000004">
      <c r="A109" s="6">
        <v>43113.51666666667</v>
      </c>
      <c r="B109" s="1">
        <v>393.2</v>
      </c>
      <c r="C109" s="1">
        <v>1.2</v>
      </c>
      <c r="D109" s="1">
        <v>4.6100000000000003</v>
      </c>
      <c r="E109" s="1">
        <v>1.383E-2</v>
      </c>
      <c r="F109" s="1">
        <v>12.5</v>
      </c>
      <c r="G109" s="1">
        <v>6.8</v>
      </c>
    </row>
    <row r="110" spans="1:7" x14ac:dyDescent="0.55000000000000004">
      <c r="A110" s="6">
        <v>43113.527083333334</v>
      </c>
      <c r="B110" s="1">
        <v>403.8</v>
      </c>
      <c r="C110" s="1">
        <v>1.3</v>
      </c>
      <c r="D110" s="1">
        <v>4.63</v>
      </c>
      <c r="E110" s="1">
        <v>9.2600000000000009E-3</v>
      </c>
      <c r="F110" s="1">
        <v>14.9</v>
      </c>
      <c r="G110" s="1">
        <v>8.9</v>
      </c>
    </row>
    <row r="111" spans="1:7" x14ac:dyDescent="0.55000000000000004">
      <c r="A111" s="6">
        <v>43113.537499999999</v>
      </c>
      <c r="B111" s="1">
        <v>399.9</v>
      </c>
      <c r="C111" s="1">
        <v>1.6</v>
      </c>
      <c r="D111" s="1">
        <v>4.62</v>
      </c>
      <c r="E111" s="1">
        <v>1.848E-2</v>
      </c>
      <c r="F111" s="1">
        <v>14.1</v>
      </c>
      <c r="G111" s="1">
        <v>7.9</v>
      </c>
    </row>
    <row r="112" spans="1:7" x14ac:dyDescent="0.55000000000000004">
      <c r="A112" s="6">
        <v>43113.54791666667</v>
      </c>
      <c r="B112" s="1">
        <v>400.7</v>
      </c>
      <c r="C112" s="1">
        <v>1.4</v>
      </c>
      <c r="D112" s="1">
        <v>4.62</v>
      </c>
      <c r="E112" s="1">
        <v>9.2399999999999999E-3</v>
      </c>
      <c r="F112" s="1">
        <v>13.8</v>
      </c>
      <c r="G112" s="1">
        <v>9.1999999999999993</v>
      </c>
    </row>
    <row r="113" spans="1:7" x14ac:dyDescent="0.55000000000000004">
      <c r="A113" s="6">
        <v>43113.558333333334</v>
      </c>
      <c r="B113" s="1">
        <v>401.9</v>
      </c>
      <c r="C113" s="1">
        <v>1.4</v>
      </c>
      <c r="D113" s="1">
        <v>4.62</v>
      </c>
      <c r="E113" s="1">
        <v>9.2399999999999999E-3</v>
      </c>
      <c r="F113" s="1">
        <v>14.1</v>
      </c>
      <c r="G113" s="1">
        <v>8.6</v>
      </c>
    </row>
    <row r="114" spans="1:7" x14ac:dyDescent="0.55000000000000004">
      <c r="A114" s="6">
        <v>43113.568749999999</v>
      </c>
      <c r="B114" s="1">
        <v>398.4</v>
      </c>
      <c r="C114" s="1">
        <v>1.3</v>
      </c>
      <c r="D114" s="1">
        <v>4.62</v>
      </c>
      <c r="E114" s="1">
        <v>1.3859999999999999E-2</v>
      </c>
      <c r="F114" s="1">
        <v>13.6</v>
      </c>
      <c r="G114" s="1">
        <v>6.4</v>
      </c>
    </row>
    <row r="115" spans="1:7" x14ac:dyDescent="0.55000000000000004">
      <c r="A115" s="6">
        <v>43113.57916666667</v>
      </c>
      <c r="B115" s="1">
        <v>398.1</v>
      </c>
      <c r="C115" s="1">
        <v>1.6</v>
      </c>
      <c r="D115" s="1">
        <v>4.6100000000000003</v>
      </c>
      <c r="E115" s="1">
        <v>1.383E-2</v>
      </c>
      <c r="F115" s="1">
        <v>13.3</v>
      </c>
      <c r="G115" s="1">
        <v>8.1999999999999993</v>
      </c>
    </row>
    <row r="116" spans="1:7" x14ac:dyDescent="0.55000000000000004">
      <c r="A116" s="6">
        <v>43113.590277777781</v>
      </c>
      <c r="B116" s="1">
        <v>399.8</v>
      </c>
      <c r="C116" s="1">
        <v>1.6</v>
      </c>
      <c r="D116" s="1">
        <v>4.6100000000000003</v>
      </c>
      <c r="E116" s="1">
        <v>1.383E-2</v>
      </c>
      <c r="F116" s="1">
        <v>13.7</v>
      </c>
      <c r="G116" s="1">
        <v>9.3000000000000007</v>
      </c>
    </row>
    <row r="117" spans="1:7" x14ac:dyDescent="0.55000000000000004">
      <c r="A117" s="6">
        <v>43113.599999999999</v>
      </c>
      <c r="B117" s="1">
        <v>401.2</v>
      </c>
      <c r="C117" s="1">
        <v>1.4</v>
      </c>
      <c r="D117" s="1">
        <v>4.62</v>
      </c>
      <c r="E117" s="1">
        <v>1.3859999999999999E-2</v>
      </c>
      <c r="F117" s="1">
        <v>14.1</v>
      </c>
      <c r="G117" s="1">
        <v>9</v>
      </c>
    </row>
    <row r="118" spans="1:7" x14ac:dyDescent="0.55000000000000004">
      <c r="A118" s="6">
        <v>43113.61041666667</v>
      </c>
      <c r="B118" s="1">
        <v>399.9</v>
      </c>
      <c r="C118" s="1">
        <v>1.4</v>
      </c>
      <c r="D118" s="1">
        <v>4.6100000000000003</v>
      </c>
      <c r="E118" s="1">
        <v>4.6100000000000004E-3</v>
      </c>
      <c r="F118" s="1">
        <v>14.1</v>
      </c>
      <c r="G118" s="1">
        <v>7.6</v>
      </c>
    </row>
    <row r="119" spans="1:7" x14ac:dyDescent="0.55000000000000004">
      <c r="A119" s="6">
        <v>43113.620833333334</v>
      </c>
      <c r="B119" s="1">
        <v>400.9</v>
      </c>
      <c r="C119" s="1">
        <v>1.2</v>
      </c>
      <c r="D119" s="1">
        <v>4.62</v>
      </c>
      <c r="E119" s="1">
        <v>1.3859999999999999E-2</v>
      </c>
      <c r="F119" s="1">
        <v>14.1</v>
      </c>
      <c r="G119" s="1">
        <v>7</v>
      </c>
    </row>
    <row r="120" spans="1:7" x14ac:dyDescent="0.55000000000000004">
      <c r="A120" s="6">
        <v>43113.631944444445</v>
      </c>
      <c r="B120" s="1">
        <v>398.7</v>
      </c>
      <c r="C120" s="1">
        <v>1.8</v>
      </c>
      <c r="D120" s="1">
        <v>4.62</v>
      </c>
      <c r="E120" s="1">
        <v>1.848E-2</v>
      </c>
      <c r="F120" s="1">
        <v>13.9</v>
      </c>
      <c r="G120" s="1">
        <v>10.7</v>
      </c>
    </row>
    <row r="121" spans="1:7" x14ac:dyDescent="0.55000000000000004">
      <c r="A121" s="6">
        <v>43113.64166666667</v>
      </c>
      <c r="B121" s="1">
        <v>401.9</v>
      </c>
      <c r="C121" s="1">
        <v>1.2</v>
      </c>
      <c r="D121" s="1">
        <v>4.62</v>
      </c>
      <c r="E121" s="1">
        <v>1.848E-2</v>
      </c>
      <c r="F121" s="1">
        <v>14.4</v>
      </c>
      <c r="G121" s="1">
        <v>5.5</v>
      </c>
    </row>
    <row r="122" spans="1:7" x14ac:dyDescent="0.55000000000000004">
      <c r="A122" s="6"/>
    </row>
    <row r="123" spans="1:7" x14ac:dyDescent="0.55000000000000004">
      <c r="A123" s="6">
        <v>43113.655555555553</v>
      </c>
      <c r="B123" s="1">
        <v>398.9</v>
      </c>
      <c r="C123" s="1">
        <v>1.4</v>
      </c>
      <c r="D123" s="1">
        <v>4.6100000000000003</v>
      </c>
      <c r="E123" s="1">
        <v>9.2200000000000008E-3</v>
      </c>
      <c r="F123" s="1">
        <v>14.3</v>
      </c>
      <c r="G123" s="1">
        <v>10.1</v>
      </c>
    </row>
    <row r="124" spans="1:7" x14ac:dyDescent="0.55000000000000004">
      <c r="A124" s="6">
        <v>43113.665972222225</v>
      </c>
      <c r="B124" s="1">
        <v>395.6</v>
      </c>
      <c r="C124" s="1">
        <v>1.4</v>
      </c>
      <c r="D124" s="1">
        <v>4.6100000000000003</v>
      </c>
      <c r="E124" s="1">
        <v>1.8440000000000002E-2</v>
      </c>
      <c r="F124" s="1">
        <v>13.6</v>
      </c>
      <c r="G124" s="1">
        <v>8.1</v>
      </c>
    </row>
    <row r="125" spans="1:7" x14ac:dyDescent="0.55000000000000004">
      <c r="A125" s="6">
        <v>43113.676388888889</v>
      </c>
      <c r="B125" s="1">
        <v>401.4</v>
      </c>
      <c r="C125" s="1">
        <v>1.3</v>
      </c>
      <c r="D125" s="1">
        <v>4.62</v>
      </c>
      <c r="E125" s="1">
        <v>9.2399999999999999E-3</v>
      </c>
      <c r="F125" s="1">
        <v>14.3</v>
      </c>
      <c r="G125" s="1">
        <v>8.5</v>
      </c>
    </row>
    <row r="126" spans="1:7" x14ac:dyDescent="0.55000000000000004">
      <c r="A126" s="6">
        <v>43113.686805555553</v>
      </c>
      <c r="B126" s="1">
        <v>398.3</v>
      </c>
      <c r="C126" s="1">
        <v>1.7</v>
      </c>
      <c r="D126" s="1">
        <v>4.62</v>
      </c>
      <c r="E126" s="1">
        <v>1.3859999999999999E-2</v>
      </c>
      <c r="F126" s="1">
        <v>13.8</v>
      </c>
      <c r="G126" s="1">
        <v>10.9</v>
      </c>
    </row>
    <row r="127" spans="1:7" x14ac:dyDescent="0.55000000000000004">
      <c r="A127" s="6">
        <v>43113.709027777775</v>
      </c>
      <c r="B127" s="1">
        <v>399.3</v>
      </c>
      <c r="C127" s="1">
        <v>1.7</v>
      </c>
      <c r="D127" s="1">
        <v>4.6100000000000003</v>
      </c>
      <c r="E127" s="1">
        <v>1.383E-2</v>
      </c>
      <c r="F127" s="1">
        <v>14.1</v>
      </c>
      <c r="G127" s="1">
        <v>9.9</v>
      </c>
    </row>
    <row r="128" spans="1:7" x14ac:dyDescent="0.55000000000000004">
      <c r="A128" s="6"/>
    </row>
    <row r="129" spans="1:7" x14ac:dyDescent="0.55000000000000004">
      <c r="A129" s="6">
        <v>43113.720833333333</v>
      </c>
      <c r="B129" s="1">
        <v>400.3</v>
      </c>
      <c r="C129" s="1">
        <v>1.3</v>
      </c>
      <c r="D129" s="1">
        <v>4.62</v>
      </c>
      <c r="E129" s="1">
        <v>9.2399999999999999E-3</v>
      </c>
      <c r="F129" s="1">
        <v>14.6</v>
      </c>
      <c r="G129" s="1">
        <v>9.8000000000000007</v>
      </c>
    </row>
    <row r="130" spans="1:7" x14ac:dyDescent="0.55000000000000004">
      <c r="A130" s="6">
        <v>43113.729861111111</v>
      </c>
      <c r="B130" s="1">
        <v>400.7</v>
      </c>
      <c r="C130" s="1">
        <v>1.1000000000000001</v>
      </c>
      <c r="D130" s="1">
        <v>4.62</v>
      </c>
      <c r="E130" s="1">
        <v>9.2399999999999999E-3</v>
      </c>
      <c r="F130" s="1">
        <v>15.2</v>
      </c>
      <c r="G130" s="1">
        <v>6.2</v>
      </c>
    </row>
    <row r="131" spans="1:7" x14ac:dyDescent="0.55000000000000004">
      <c r="A131" s="6">
        <v>43113.740277777775</v>
      </c>
      <c r="B131" s="1">
        <v>398.8</v>
      </c>
      <c r="C131" s="1">
        <v>1.2</v>
      </c>
      <c r="D131" s="1">
        <v>4.6100000000000003</v>
      </c>
      <c r="E131" s="1">
        <v>9.2200000000000008E-3</v>
      </c>
      <c r="F131" s="1">
        <v>14.6</v>
      </c>
      <c r="G131" s="1">
        <v>5.7</v>
      </c>
    </row>
    <row r="132" spans="1:7" x14ac:dyDescent="0.55000000000000004">
      <c r="A132" s="6">
        <v>43113.751388888886</v>
      </c>
      <c r="B132" s="1">
        <v>400.2</v>
      </c>
      <c r="C132" s="1">
        <v>1.8</v>
      </c>
      <c r="D132" s="1">
        <v>4.6100000000000003</v>
      </c>
      <c r="E132" s="1">
        <v>1.383E-2</v>
      </c>
      <c r="F132" s="1">
        <v>14.8</v>
      </c>
      <c r="G132" s="1">
        <v>9</v>
      </c>
    </row>
    <row r="133" spans="1:7" x14ac:dyDescent="0.55000000000000004">
      <c r="A133" s="6">
        <v>43113.761111111111</v>
      </c>
      <c r="B133" s="1">
        <v>403.2</v>
      </c>
      <c r="C133" s="1">
        <v>1.3</v>
      </c>
      <c r="D133" s="1">
        <v>4.62</v>
      </c>
      <c r="E133" s="1">
        <v>1.3859999999999999E-2</v>
      </c>
      <c r="F133" s="1">
        <v>15.9</v>
      </c>
      <c r="G133" s="1">
        <v>7.4</v>
      </c>
    </row>
    <row r="134" spans="1:7" x14ac:dyDescent="0.55000000000000004">
      <c r="A134" s="6">
        <v>43113.772916666669</v>
      </c>
      <c r="B134" s="1">
        <v>399.7</v>
      </c>
      <c r="C134" s="1">
        <v>2.1</v>
      </c>
      <c r="D134" s="1">
        <v>4.62</v>
      </c>
      <c r="E134" s="1">
        <v>1.3859999999999999E-2</v>
      </c>
      <c r="F134" s="1">
        <v>15.1</v>
      </c>
      <c r="G134" s="1">
        <v>13.5</v>
      </c>
    </row>
    <row r="135" spans="1:7" x14ac:dyDescent="0.55000000000000004">
      <c r="A135" s="6">
        <v>43113.78402777778</v>
      </c>
      <c r="B135" s="1">
        <v>401.9</v>
      </c>
      <c r="C135" s="1">
        <v>1.4</v>
      </c>
      <c r="D135" s="1">
        <v>4.6100000000000003</v>
      </c>
      <c r="E135" s="1">
        <v>1.383E-2</v>
      </c>
      <c r="F135" s="1">
        <v>15.5</v>
      </c>
      <c r="G135" s="1">
        <v>9</v>
      </c>
    </row>
    <row r="136" spans="1:7" x14ac:dyDescent="0.55000000000000004">
      <c r="A136" s="6"/>
    </row>
    <row r="137" spans="1:7" x14ac:dyDescent="0.55000000000000004">
      <c r="A137" s="6">
        <v>43113.79583333333</v>
      </c>
      <c r="B137" s="1">
        <v>399</v>
      </c>
      <c r="C137" s="1">
        <v>1.7</v>
      </c>
      <c r="D137" s="1">
        <v>4.5999999999999996</v>
      </c>
      <c r="E137" s="1">
        <v>1.38E-2</v>
      </c>
      <c r="F137" s="1">
        <v>15.3</v>
      </c>
      <c r="G137" s="1">
        <v>9.6999999999999993</v>
      </c>
    </row>
    <row r="138" spans="1:7" x14ac:dyDescent="0.55000000000000004">
      <c r="A138" s="6">
        <v>43113.804861111108</v>
      </c>
      <c r="B138" s="1">
        <v>398</v>
      </c>
      <c r="C138" s="1">
        <v>1.7</v>
      </c>
      <c r="D138" s="1">
        <v>4.6100000000000003</v>
      </c>
      <c r="E138" s="1">
        <v>1.8440000000000002E-2</v>
      </c>
      <c r="F138" s="1">
        <v>15</v>
      </c>
      <c r="G138" s="1">
        <v>10</v>
      </c>
    </row>
    <row r="139" spans="1:7" x14ac:dyDescent="0.55000000000000004">
      <c r="A139" s="6">
        <v>43113.814583333333</v>
      </c>
      <c r="B139" s="1">
        <v>402.4</v>
      </c>
      <c r="C139" s="1">
        <v>1.9</v>
      </c>
      <c r="D139" s="1">
        <v>4.6100000000000003</v>
      </c>
      <c r="E139" s="1">
        <v>9.2200000000000008E-3</v>
      </c>
      <c r="F139" s="1">
        <v>15.9</v>
      </c>
      <c r="G139" s="1">
        <v>6.7</v>
      </c>
    </row>
    <row r="140" spans="1:7" x14ac:dyDescent="0.55000000000000004">
      <c r="A140" s="6">
        <v>43113.824999999997</v>
      </c>
      <c r="B140" s="1">
        <v>401.7</v>
      </c>
      <c r="C140" s="1">
        <v>1.2</v>
      </c>
      <c r="D140" s="1">
        <v>4.6100000000000003</v>
      </c>
      <c r="E140" s="1">
        <v>1.383E-2</v>
      </c>
      <c r="F140" s="1">
        <v>15.3</v>
      </c>
      <c r="G140" s="1">
        <v>7.6</v>
      </c>
    </row>
    <row r="141" spans="1:7" x14ac:dyDescent="0.55000000000000004">
      <c r="A141" s="6">
        <v>43113.835416666669</v>
      </c>
      <c r="B141" s="1">
        <v>397</v>
      </c>
      <c r="C141" s="1">
        <v>1.8</v>
      </c>
      <c r="D141" s="1">
        <v>4.6100000000000003</v>
      </c>
      <c r="E141" s="1">
        <v>1.383E-2</v>
      </c>
      <c r="F141" s="1">
        <v>14.6</v>
      </c>
      <c r="G141" s="1">
        <v>10.199999999999999</v>
      </c>
    </row>
    <row r="142" spans="1:7" x14ac:dyDescent="0.55000000000000004">
      <c r="A142" s="6">
        <v>43113.845833333333</v>
      </c>
      <c r="B142" s="1">
        <v>400.1</v>
      </c>
      <c r="C142" s="1">
        <v>1.7</v>
      </c>
      <c r="D142" s="1">
        <v>4.6100000000000003</v>
      </c>
      <c r="E142" s="1">
        <v>9.2200000000000008E-3</v>
      </c>
      <c r="F142" s="1">
        <v>15.3</v>
      </c>
      <c r="G142" s="1">
        <v>9.1999999999999993</v>
      </c>
    </row>
    <row r="143" spans="1:7" x14ac:dyDescent="0.55000000000000004">
      <c r="A143" s="6">
        <v>43113.856944444444</v>
      </c>
      <c r="B143" s="1">
        <v>405.1</v>
      </c>
      <c r="C143" s="1">
        <v>1.4</v>
      </c>
      <c r="D143" s="1">
        <v>4.6100000000000003</v>
      </c>
      <c r="E143" s="1">
        <v>1.8440000000000002E-2</v>
      </c>
      <c r="F143" s="1">
        <v>15.8</v>
      </c>
      <c r="G143" s="1">
        <v>7</v>
      </c>
    </row>
    <row r="144" spans="1:7" x14ac:dyDescent="0.55000000000000004">
      <c r="A144" s="6">
        <v>43113.866666666669</v>
      </c>
      <c r="B144" s="1">
        <v>395.1</v>
      </c>
      <c r="C144" s="1">
        <v>1.2</v>
      </c>
      <c r="D144" s="1">
        <v>4.5999999999999996</v>
      </c>
      <c r="E144" s="1">
        <v>9.1999999999999998E-3</v>
      </c>
      <c r="F144" s="1">
        <v>14.2</v>
      </c>
      <c r="G144" s="1">
        <v>9.5</v>
      </c>
    </row>
    <row r="145" spans="1:7" x14ac:dyDescent="0.55000000000000004">
      <c r="A145" s="6">
        <v>43113.883333333331</v>
      </c>
      <c r="B145" s="1">
        <v>397.7</v>
      </c>
      <c r="C145" s="1">
        <v>1.4</v>
      </c>
      <c r="D145" s="1">
        <v>4.6100000000000003</v>
      </c>
      <c r="E145" s="1">
        <v>9.2200000000000008E-3</v>
      </c>
      <c r="F145" s="1">
        <v>15.2</v>
      </c>
      <c r="G145" s="1">
        <v>7.1</v>
      </c>
    </row>
    <row r="146" spans="1:7" x14ac:dyDescent="0.55000000000000004">
      <c r="A146" s="6">
        <v>43113.893750000003</v>
      </c>
      <c r="B146" s="1">
        <v>400</v>
      </c>
      <c r="C146" s="1">
        <v>1.8</v>
      </c>
      <c r="D146" s="1">
        <v>4.6100000000000003</v>
      </c>
      <c r="E146" s="1">
        <v>9.2200000000000008E-3</v>
      </c>
      <c r="F146" s="1">
        <v>15.3</v>
      </c>
      <c r="G146" s="1">
        <v>12.6</v>
      </c>
    </row>
    <row r="147" spans="1:7" x14ac:dyDescent="0.55000000000000004">
      <c r="A147" s="6">
        <v>43113.904166666667</v>
      </c>
      <c r="B147" s="1">
        <v>400.1</v>
      </c>
      <c r="C147" s="1">
        <v>1.3</v>
      </c>
      <c r="D147" s="1">
        <v>4.6100000000000003</v>
      </c>
      <c r="E147" s="1">
        <v>1.383E-2</v>
      </c>
      <c r="F147" s="1">
        <v>15.3</v>
      </c>
      <c r="G147" s="1">
        <v>8.5</v>
      </c>
    </row>
    <row r="148" spans="1:7" x14ac:dyDescent="0.55000000000000004">
      <c r="A148" s="6">
        <v>43113.915972222225</v>
      </c>
      <c r="B148" s="1">
        <v>400.6</v>
      </c>
      <c r="C148" s="1">
        <v>1.6</v>
      </c>
      <c r="D148" s="1">
        <v>4.6100000000000003</v>
      </c>
      <c r="E148" s="1">
        <v>1.383E-2</v>
      </c>
      <c r="F148" s="1">
        <v>15.5</v>
      </c>
      <c r="G148" s="1">
        <v>10.6</v>
      </c>
    </row>
    <row r="149" spans="1:7" x14ac:dyDescent="0.55000000000000004">
      <c r="A149" s="6">
        <v>43113.925000000003</v>
      </c>
      <c r="B149" s="1">
        <v>394.9</v>
      </c>
      <c r="C149" s="1">
        <v>1.7</v>
      </c>
      <c r="D149" s="1">
        <v>4.5999999999999996</v>
      </c>
      <c r="E149" s="1">
        <v>1.38E-2</v>
      </c>
      <c r="F149" s="1">
        <v>14.5</v>
      </c>
      <c r="G149" s="1">
        <v>7.3</v>
      </c>
    </row>
    <row r="150" spans="1:7" x14ac:dyDescent="0.55000000000000004">
      <c r="A150" s="6">
        <v>43113.935416666667</v>
      </c>
      <c r="B150" s="1">
        <v>406.5</v>
      </c>
      <c r="C150" s="1">
        <v>1.3</v>
      </c>
      <c r="D150" s="1">
        <v>4.62</v>
      </c>
      <c r="E150" s="1">
        <v>1.3859999999999999E-2</v>
      </c>
      <c r="F150" s="1">
        <v>16.7</v>
      </c>
      <c r="G150" s="1">
        <v>7.4</v>
      </c>
    </row>
    <row r="151" spans="1:7" x14ac:dyDescent="0.55000000000000004">
      <c r="A151" s="6">
        <v>43113.945833333331</v>
      </c>
      <c r="B151" s="1">
        <v>399.9</v>
      </c>
      <c r="C151" s="1">
        <v>1.2</v>
      </c>
      <c r="D151" s="1">
        <v>4.6100000000000003</v>
      </c>
      <c r="E151" s="1">
        <v>1.383E-2</v>
      </c>
      <c r="F151" s="1">
        <v>15.3</v>
      </c>
      <c r="G151" s="1">
        <v>5.4</v>
      </c>
    </row>
    <row r="152" spans="1:7" x14ac:dyDescent="0.55000000000000004">
      <c r="A152" s="6">
        <v>43113.956250000003</v>
      </c>
      <c r="B152" s="1">
        <v>399.8</v>
      </c>
      <c r="C152" s="1">
        <v>1.8</v>
      </c>
      <c r="D152" s="1">
        <v>4.6100000000000003</v>
      </c>
      <c r="E152" s="1">
        <v>1.383E-2</v>
      </c>
      <c r="F152" s="1">
        <v>15.4</v>
      </c>
      <c r="G152" s="1">
        <v>10.4</v>
      </c>
    </row>
    <row r="153" spans="1:7" x14ac:dyDescent="0.55000000000000004">
      <c r="A153" s="6">
        <v>43113.96597222222</v>
      </c>
      <c r="B153" s="1">
        <v>399.4</v>
      </c>
      <c r="C153" s="1">
        <v>1.4</v>
      </c>
      <c r="D153" s="1">
        <v>4.6100000000000003</v>
      </c>
      <c r="E153" s="1">
        <v>1.383E-2</v>
      </c>
      <c r="F153" s="1">
        <v>15.8</v>
      </c>
      <c r="G153" s="1">
        <v>8.3000000000000007</v>
      </c>
    </row>
    <row r="154" spans="1:7" x14ac:dyDescent="0.55000000000000004">
      <c r="A154" s="6">
        <v>43113.977083333331</v>
      </c>
      <c r="B154" s="1">
        <v>402.2</v>
      </c>
      <c r="C154" s="1">
        <v>1.5</v>
      </c>
      <c r="D154" s="1">
        <v>4.62</v>
      </c>
      <c r="E154" s="1">
        <v>9.2399999999999999E-3</v>
      </c>
      <c r="F154" s="1">
        <v>15.9</v>
      </c>
      <c r="G154" s="1">
        <v>8.6</v>
      </c>
    </row>
    <row r="155" spans="1:7" x14ac:dyDescent="0.55000000000000004">
      <c r="A155" s="6">
        <v>43113.987500000003</v>
      </c>
      <c r="B155" s="1">
        <v>396.8</v>
      </c>
      <c r="C155" s="1">
        <v>1.6</v>
      </c>
      <c r="D155" s="1">
        <v>4.5999999999999996</v>
      </c>
      <c r="E155" s="1">
        <v>9.1999999999999998E-3</v>
      </c>
      <c r="F155" s="1">
        <v>14.9</v>
      </c>
      <c r="G155" s="1">
        <v>9.8000000000000007</v>
      </c>
    </row>
    <row r="156" spans="1:7" x14ac:dyDescent="0.55000000000000004">
      <c r="A156" s="6">
        <v>43113.998611111114</v>
      </c>
      <c r="B156" s="1">
        <v>403.8</v>
      </c>
      <c r="C156" s="1">
        <v>1.5</v>
      </c>
      <c r="D156" s="1">
        <v>4.6100000000000003</v>
      </c>
      <c r="E156" s="1">
        <v>1.383E-2</v>
      </c>
      <c r="F156" s="1">
        <v>16.600000000000001</v>
      </c>
      <c r="G156" s="1">
        <v>9.5</v>
      </c>
    </row>
    <row r="157" spans="1:7" x14ac:dyDescent="0.55000000000000004">
      <c r="A157" s="6">
        <v>43114.008333333331</v>
      </c>
      <c r="B157" s="1">
        <v>401.9</v>
      </c>
      <c r="C157" s="1">
        <v>1.4</v>
      </c>
      <c r="D157" s="1">
        <v>4.6100000000000003</v>
      </c>
      <c r="E157" s="1">
        <v>9.2200000000000008E-3</v>
      </c>
      <c r="F157" s="1">
        <v>15.6</v>
      </c>
      <c r="G157" s="1">
        <v>8.4</v>
      </c>
    </row>
    <row r="158" spans="1:7" x14ac:dyDescent="0.55000000000000004">
      <c r="A158" s="6">
        <v>43114.018750000003</v>
      </c>
      <c r="B158" s="1">
        <v>398.4</v>
      </c>
      <c r="C158" s="1">
        <v>1.4</v>
      </c>
      <c r="D158" s="1">
        <v>4.6100000000000003</v>
      </c>
      <c r="E158" s="1">
        <v>1.383E-2</v>
      </c>
      <c r="F158" s="1">
        <v>13.6</v>
      </c>
      <c r="G158" s="1">
        <v>10</v>
      </c>
    </row>
    <row r="159" spans="1:7" x14ac:dyDescent="0.55000000000000004">
      <c r="A159" s="6">
        <v>43114.029861111114</v>
      </c>
      <c r="B159" s="1">
        <v>398.5</v>
      </c>
      <c r="C159" s="1">
        <v>1.4</v>
      </c>
      <c r="D159" s="1">
        <v>4.6100000000000003</v>
      </c>
      <c r="E159" s="1">
        <v>1.383E-2</v>
      </c>
      <c r="F159" s="1">
        <v>14.2</v>
      </c>
      <c r="G159" s="1">
        <v>6.5</v>
      </c>
    </row>
    <row r="160" spans="1:7" x14ac:dyDescent="0.55000000000000004">
      <c r="A160" s="6">
        <v>43114.038888888892</v>
      </c>
      <c r="B160" s="1">
        <v>405.1</v>
      </c>
      <c r="C160" s="1">
        <v>1.2</v>
      </c>
      <c r="D160" s="1">
        <v>4.62</v>
      </c>
      <c r="E160" s="1">
        <v>9.2399999999999999E-3</v>
      </c>
      <c r="F160" s="1">
        <v>14.9</v>
      </c>
      <c r="G160" s="1">
        <v>9</v>
      </c>
    </row>
    <row r="161" spans="1:7" x14ac:dyDescent="0.55000000000000004">
      <c r="A161" s="6">
        <v>43114.05</v>
      </c>
      <c r="B161" s="1">
        <v>395</v>
      </c>
      <c r="C161" s="1">
        <v>1.7</v>
      </c>
      <c r="D161" s="1">
        <v>4.6100000000000003</v>
      </c>
      <c r="E161" s="1">
        <v>1.383E-2</v>
      </c>
      <c r="F161" s="1">
        <v>13</v>
      </c>
      <c r="G161" s="1">
        <v>10.1</v>
      </c>
    </row>
    <row r="162" spans="1:7" x14ac:dyDescent="0.55000000000000004">
      <c r="A162" s="6">
        <v>43114.060416666667</v>
      </c>
      <c r="B162" s="1">
        <v>403</v>
      </c>
      <c r="C162" s="1">
        <v>1</v>
      </c>
      <c r="D162" s="1">
        <v>4.6100000000000003</v>
      </c>
      <c r="E162" s="1">
        <v>1.383E-2</v>
      </c>
      <c r="F162" s="1">
        <v>15.1</v>
      </c>
      <c r="G162" s="1">
        <v>3.7</v>
      </c>
    </row>
    <row r="163" spans="1:7" x14ac:dyDescent="0.55000000000000004">
      <c r="A163" s="6">
        <v>43114.073611111111</v>
      </c>
      <c r="B163" s="1">
        <v>402.9</v>
      </c>
      <c r="C163" s="1">
        <v>1.2</v>
      </c>
      <c r="D163" s="1">
        <v>4.6100000000000003</v>
      </c>
      <c r="E163" s="1">
        <v>1.383E-2</v>
      </c>
      <c r="F163" s="1">
        <v>14.3</v>
      </c>
      <c r="G163" s="1">
        <v>7</v>
      </c>
    </row>
    <row r="164" spans="1:7" x14ac:dyDescent="0.55000000000000004">
      <c r="A164" s="6">
        <v>43114.081944444442</v>
      </c>
      <c r="B164" s="1">
        <v>397.2</v>
      </c>
      <c r="C164" s="1">
        <v>1.4</v>
      </c>
      <c r="D164" s="1">
        <v>4.6100000000000003</v>
      </c>
      <c r="E164" s="1">
        <v>1.383E-2</v>
      </c>
      <c r="F164" s="1">
        <v>13.1</v>
      </c>
      <c r="G164" s="1">
        <v>6.9</v>
      </c>
    </row>
    <row r="165" spans="1:7" x14ac:dyDescent="0.55000000000000004">
      <c r="A165" s="6">
        <v>43114.097222222219</v>
      </c>
      <c r="B165" s="1">
        <v>396.3</v>
      </c>
      <c r="C165" s="1">
        <v>1.3</v>
      </c>
      <c r="D165" s="1">
        <v>4.6100000000000003</v>
      </c>
      <c r="E165" s="1">
        <v>9.2200000000000008E-3</v>
      </c>
      <c r="F165" s="1">
        <v>13.1</v>
      </c>
      <c r="G165" s="1">
        <v>8.6999999999999993</v>
      </c>
    </row>
    <row r="166" spans="1:7" x14ac:dyDescent="0.55000000000000004">
      <c r="A166" s="6">
        <v>43114.106944444444</v>
      </c>
      <c r="B166" s="1">
        <v>395.6</v>
      </c>
      <c r="C166" s="1">
        <v>1.1000000000000001</v>
      </c>
      <c r="D166" s="1">
        <v>4.6100000000000003</v>
      </c>
      <c r="E166" s="1">
        <v>9.2200000000000008E-3</v>
      </c>
      <c r="F166" s="1">
        <v>12.8</v>
      </c>
      <c r="G166" s="1">
        <v>6.1</v>
      </c>
    </row>
    <row r="167" spans="1:7" x14ac:dyDescent="0.55000000000000004">
      <c r="A167" s="6">
        <v>43114.117361111108</v>
      </c>
      <c r="B167" s="1">
        <v>405.4</v>
      </c>
      <c r="C167" s="1">
        <v>1.6</v>
      </c>
      <c r="D167" s="1">
        <v>4.63</v>
      </c>
      <c r="E167" s="1">
        <v>1.389E-2</v>
      </c>
      <c r="F167" s="1">
        <v>14.5</v>
      </c>
      <c r="G167" s="1">
        <v>9.1</v>
      </c>
    </row>
    <row r="168" spans="1:7" x14ac:dyDescent="0.55000000000000004">
      <c r="A168" s="6">
        <v>43114.129166666666</v>
      </c>
      <c r="B168" s="1">
        <v>395.7</v>
      </c>
      <c r="C168" s="1">
        <v>1.5</v>
      </c>
      <c r="D168" s="1">
        <v>4.6100000000000003</v>
      </c>
      <c r="E168" s="1">
        <v>9.2200000000000008E-3</v>
      </c>
      <c r="F168" s="1">
        <v>12.8</v>
      </c>
      <c r="G168" s="1">
        <v>9.6</v>
      </c>
    </row>
    <row r="169" spans="1:7" x14ac:dyDescent="0.55000000000000004">
      <c r="A169" s="6">
        <v>43114.137499999997</v>
      </c>
      <c r="B169" s="1">
        <v>401.3</v>
      </c>
      <c r="C169" s="1">
        <v>1.4</v>
      </c>
      <c r="D169" s="1">
        <v>4.62</v>
      </c>
      <c r="E169" s="1">
        <v>1.3859999999999999E-2</v>
      </c>
      <c r="F169" s="1">
        <v>13.4</v>
      </c>
      <c r="G169" s="1">
        <v>7.7</v>
      </c>
    </row>
    <row r="170" spans="1:7" x14ac:dyDescent="0.55000000000000004">
      <c r="A170" s="6">
        <v>43114.15</v>
      </c>
      <c r="B170" s="1">
        <v>400.9</v>
      </c>
      <c r="C170" s="1">
        <v>1.6</v>
      </c>
      <c r="D170" s="1">
        <v>4.62</v>
      </c>
      <c r="E170" s="1">
        <v>1.3859999999999999E-2</v>
      </c>
      <c r="F170" s="1">
        <v>13.8</v>
      </c>
      <c r="G170" s="1">
        <v>10.4</v>
      </c>
    </row>
    <row r="171" spans="1:7" x14ac:dyDescent="0.55000000000000004">
      <c r="A171" s="6">
        <v>43114.162499999999</v>
      </c>
      <c r="B171" s="1">
        <v>401.4</v>
      </c>
      <c r="C171" s="1">
        <v>1.3</v>
      </c>
      <c r="D171" s="1">
        <v>4.62</v>
      </c>
      <c r="E171" s="1">
        <v>1.3859999999999999E-2</v>
      </c>
      <c r="F171" s="1">
        <v>13.8</v>
      </c>
      <c r="G171" s="1">
        <v>7.5</v>
      </c>
    </row>
    <row r="172" spans="1:7" x14ac:dyDescent="0.55000000000000004">
      <c r="A172" s="6"/>
    </row>
    <row r="173" spans="1:7" x14ac:dyDescent="0.55000000000000004">
      <c r="A173" s="6">
        <v>43114.170138888891</v>
      </c>
      <c r="B173" s="1">
        <v>399.3</v>
      </c>
      <c r="C173" s="1">
        <v>1.2</v>
      </c>
      <c r="D173" s="1">
        <v>4.62</v>
      </c>
      <c r="E173" s="1">
        <v>9.2399999999999999E-3</v>
      </c>
      <c r="F173" s="1">
        <v>13.5</v>
      </c>
      <c r="G173" s="1">
        <v>7.6</v>
      </c>
    </row>
    <row r="174" spans="1:7" x14ac:dyDescent="0.55000000000000004">
      <c r="A174" s="6">
        <v>43114.179861111108</v>
      </c>
      <c r="B174" s="1">
        <v>396.7</v>
      </c>
      <c r="C174" s="1">
        <v>2</v>
      </c>
      <c r="D174" s="1">
        <v>4.6100000000000003</v>
      </c>
      <c r="E174" s="1">
        <v>1.8440000000000002E-2</v>
      </c>
      <c r="F174" s="1">
        <v>12.8</v>
      </c>
      <c r="G174" s="1">
        <v>10.9</v>
      </c>
    </row>
    <row r="175" spans="1:7" x14ac:dyDescent="0.55000000000000004">
      <c r="A175" s="6">
        <v>43114.19027777778</v>
      </c>
      <c r="B175" s="1">
        <v>399.2</v>
      </c>
      <c r="C175" s="1">
        <v>1.7</v>
      </c>
      <c r="D175" s="1">
        <v>4.6100000000000003</v>
      </c>
      <c r="E175" s="1">
        <v>1.383E-2</v>
      </c>
      <c r="F175" s="1">
        <v>13.6</v>
      </c>
      <c r="G175" s="1">
        <v>10</v>
      </c>
    </row>
    <row r="176" spans="1:7" x14ac:dyDescent="0.55000000000000004">
      <c r="A176" s="6">
        <v>43114.201388888891</v>
      </c>
      <c r="B176" s="1">
        <v>401.7</v>
      </c>
      <c r="C176" s="1">
        <v>1.2</v>
      </c>
      <c r="D176" s="1">
        <v>4.6100000000000003</v>
      </c>
      <c r="E176" s="1">
        <v>9.2200000000000008E-3</v>
      </c>
      <c r="F176" s="1">
        <v>14</v>
      </c>
      <c r="G176" s="1">
        <v>7.7</v>
      </c>
    </row>
    <row r="177" spans="1:7" x14ac:dyDescent="0.55000000000000004">
      <c r="A177" s="6">
        <v>43114.211111111108</v>
      </c>
      <c r="B177" s="1">
        <v>395.4</v>
      </c>
      <c r="C177" s="1">
        <v>1.6</v>
      </c>
      <c r="D177" s="1">
        <v>4.5999999999999996</v>
      </c>
      <c r="E177" s="1">
        <v>1.38E-2</v>
      </c>
      <c r="F177" s="1">
        <v>13</v>
      </c>
      <c r="G177" s="1">
        <v>10.8</v>
      </c>
    </row>
    <row r="178" spans="1:7" x14ac:dyDescent="0.55000000000000004">
      <c r="A178" s="6">
        <v>43114.22152777778</v>
      </c>
      <c r="B178" s="1">
        <v>403.2</v>
      </c>
      <c r="C178" s="1">
        <v>0.9</v>
      </c>
      <c r="D178" s="1">
        <v>4.62</v>
      </c>
      <c r="E178" s="1">
        <v>9.2399999999999999E-3</v>
      </c>
      <c r="F178" s="1">
        <v>14.4</v>
      </c>
      <c r="G178" s="1">
        <v>4.8</v>
      </c>
    </row>
    <row r="179" spans="1:7" x14ac:dyDescent="0.55000000000000004">
      <c r="A179" s="6">
        <v>43114.232638888891</v>
      </c>
      <c r="B179" s="1">
        <v>402.7</v>
      </c>
      <c r="C179" s="1">
        <v>1.4</v>
      </c>
      <c r="D179" s="1">
        <v>4.62</v>
      </c>
      <c r="E179" s="1">
        <v>1.3859999999999999E-2</v>
      </c>
      <c r="F179" s="1">
        <v>14.4</v>
      </c>
      <c r="G179" s="1">
        <v>8</v>
      </c>
    </row>
    <row r="180" spans="1:7" x14ac:dyDescent="0.55000000000000004">
      <c r="A180" s="6">
        <v>43114.243750000001</v>
      </c>
      <c r="B180" s="1">
        <v>398.5</v>
      </c>
      <c r="C180" s="1">
        <v>2</v>
      </c>
      <c r="D180" s="1">
        <v>4.5999999999999996</v>
      </c>
      <c r="E180" s="1">
        <v>1.38E-2</v>
      </c>
      <c r="F180" s="1">
        <v>12.7</v>
      </c>
      <c r="G180" s="1">
        <v>10.3</v>
      </c>
    </row>
    <row r="181" spans="1:7" x14ac:dyDescent="0.55000000000000004">
      <c r="A181" s="6">
        <v>43114.254861111112</v>
      </c>
      <c r="B181" s="1">
        <v>403.2</v>
      </c>
      <c r="C181" s="1">
        <v>1.4</v>
      </c>
      <c r="D181" s="1">
        <v>4.62</v>
      </c>
      <c r="E181" s="1">
        <v>1.3859999999999999E-2</v>
      </c>
      <c r="F181" s="1">
        <v>14.5</v>
      </c>
      <c r="G181" s="1">
        <v>8.5</v>
      </c>
    </row>
    <row r="182" spans="1:7" x14ac:dyDescent="0.55000000000000004">
      <c r="A182" s="6">
        <v>43114.263888888891</v>
      </c>
      <c r="B182" s="1">
        <v>401</v>
      </c>
      <c r="C182" s="1">
        <v>1.4</v>
      </c>
      <c r="D182" s="1">
        <v>4.62</v>
      </c>
      <c r="E182" s="1">
        <v>9.2399999999999999E-3</v>
      </c>
      <c r="F182" s="1">
        <v>14.2</v>
      </c>
      <c r="G182" s="1">
        <v>10</v>
      </c>
    </row>
    <row r="183" spans="1:7" x14ac:dyDescent="0.55000000000000004">
      <c r="A183" s="6">
        <v>43114.275694444441</v>
      </c>
      <c r="B183" s="1">
        <v>401</v>
      </c>
      <c r="C183" s="1">
        <v>1.9</v>
      </c>
      <c r="D183" s="1">
        <v>4.6100000000000003</v>
      </c>
      <c r="E183" s="1">
        <v>1.383E-2</v>
      </c>
      <c r="F183" s="1">
        <v>14.1</v>
      </c>
      <c r="G183" s="1">
        <v>11.5</v>
      </c>
    </row>
    <row r="184" spans="1:7" x14ac:dyDescent="0.55000000000000004">
      <c r="A184" s="6">
        <v>43114.285416666666</v>
      </c>
      <c r="B184" s="1">
        <v>401.3</v>
      </c>
      <c r="C184" s="1">
        <v>1.3</v>
      </c>
      <c r="D184" s="1">
        <v>4.6100000000000003</v>
      </c>
      <c r="E184" s="1">
        <v>1.383E-2</v>
      </c>
      <c r="F184" s="1">
        <v>13.9</v>
      </c>
      <c r="G184" s="1">
        <v>5</v>
      </c>
    </row>
    <row r="185" spans="1:7" x14ac:dyDescent="0.55000000000000004">
      <c r="A185" s="6">
        <v>43114.29583333333</v>
      </c>
      <c r="B185" s="1">
        <v>400</v>
      </c>
      <c r="C185" s="1">
        <v>1.4</v>
      </c>
      <c r="D185" s="1">
        <v>4.6100000000000003</v>
      </c>
      <c r="E185" s="1">
        <v>1.383E-2</v>
      </c>
      <c r="F185" s="1">
        <v>14.1</v>
      </c>
      <c r="G185" s="1">
        <v>6.7</v>
      </c>
    </row>
    <row r="186" spans="1:7" x14ac:dyDescent="0.55000000000000004">
      <c r="A186" s="6">
        <v>43114.306250000001</v>
      </c>
      <c r="B186" s="1">
        <v>398.8</v>
      </c>
      <c r="C186" s="1">
        <v>1.9</v>
      </c>
      <c r="D186" s="1">
        <v>4.6100000000000003</v>
      </c>
      <c r="E186" s="1">
        <v>1.8440000000000002E-2</v>
      </c>
      <c r="F186" s="1">
        <v>13.5</v>
      </c>
      <c r="G186" s="1">
        <v>10.5</v>
      </c>
    </row>
    <row r="187" spans="1:7" x14ac:dyDescent="0.55000000000000004">
      <c r="A187" s="6">
        <v>43114.317361111112</v>
      </c>
      <c r="B187" s="1">
        <v>397.6</v>
      </c>
      <c r="C187" s="1">
        <v>1.1000000000000001</v>
      </c>
      <c r="D187" s="1">
        <v>4.5999999999999996</v>
      </c>
      <c r="E187" s="1">
        <v>9.1999999999999998E-3</v>
      </c>
      <c r="F187" s="1">
        <v>13.6</v>
      </c>
      <c r="G187" s="1">
        <v>7.1</v>
      </c>
    </row>
    <row r="188" spans="1:7" x14ac:dyDescent="0.55000000000000004">
      <c r="A188" s="6">
        <v>43114.328472222223</v>
      </c>
      <c r="B188" s="1">
        <v>396.4</v>
      </c>
      <c r="C188" s="1">
        <v>1.9</v>
      </c>
      <c r="D188" s="1">
        <v>4.6100000000000003</v>
      </c>
      <c r="E188" s="1">
        <v>1.8440000000000002E-2</v>
      </c>
      <c r="F188" s="1">
        <v>13</v>
      </c>
      <c r="G188" s="1">
        <v>10.9</v>
      </c>
    </row>
    <row r="189" spans="1:7" x14ac:dyDescent="0.55000000000000004">
      <c r="A189" s="6">
        <v>43114.338888888888</v>
      </c>
      <c r="B189" s="1">
        <v>406.5</v>
      </c>
      <c r="C189" s="1">
        <v>1.4</v>
      </c>
      <c r="D189" s="1">
        <v>4.63</v>
      </c>
      <c r="E189" s="1">
        <v>9.2600000000000009E-3</v>
      </c>
      <c r="F189" s="1">
        <v>16.100000000000001</v>
      </c>
      <c r="G189" s="1">
        <v>6.9</v>
      </c>
    </row>
    <row r="190" spans="1:7" x14ac:dyDescent="0.55000000000000004">
      <c r="A190" s="6">
        <v>43115.349305555559</v>
      </c>
      <c r="B190" s="1">
        <v>403.6</v>
      </c>
      <c r="C190" s="1">
        <v>1</v>
      </c>
      <c r="D190" s="1">
        <v>4.62</v>
      </c>
      <c r="E190" s="1">
        <v>1.3859999999999999E-2</v>
      </c>
      <c r="F190" s="1">
        <v>14.8</v>
      </c>
      <c r="G190" s="1">
        <v>8.1</v>
      </c>
    </row>
    <row r="191" spans="1:7" x14ac:dyDescent="0.55000000000000004">
      <c r="A191" s="6">
        <v>43114.36041666667</v>
      </c>
      <c r="B191" s="1">
        <v>396.6</v>
      </c>
      <c r="C191" s="1">
        <v>1.6</v>
      </c>
      <c r="D191" s="1">
        <v>4.6100000000000003</v>
      </c>
      <c r="E191" s="1">
        <v>9.2200000000000008E-3</v>
      </c>
      <c r="F191" s="1">
        <v>13.4</v>
      </c>
      <c r="G191" s="1">
        <v>10.5</v>
      </c>
    </row>
    <row r="192" spans="1:7" x14ac:dyDescent="0.55000000000000004">
      <c r="A192" s="6">
        <v>43114.370138888888</v>
      </c>
      <c r="B192" s="1">
        <v>397.7</v>
      </c>
      <c r="C192" s="1">
        <v>1.2</v>
      </c>
      <c r="D192" s="1">
        <v>4.62</v>
      </c>
      <c r="E192" s="1">
        <v>9.2399999999999999E-3</v>
      </c>
      <c r="F192" s="1">
        <v>14.1</v>
      </c>
      <c r="G192" s="1">
        <v>8.3000000000000007</v>
      </c>
    </row>
    <row r="193" spans="1:7" x14ac:dyDescent="0.55000000000000004">
      <c r="A193" s="6">
        <v>43114.380555555559</v>
      </c>
      <c r="B193" s="1">
        <v>397.3</v>
      </c>
      <c r="C193" s="1">
        <v>1.5</v>
      </c>
      <c r="D193" s="1">
        <v>4.6100000000000003</v>
      </c>
      <c r="E193" s="1">
        <v>1.383E-2</v>
      </c>
      <c r="F193" s="1">
        <v>13.6</v>
      </c>
      <c r="G193" s="1">
        <v>8.9</v>
      </c>
    </row>
    <row r="194" spans="1:7" x14ac:dyDescent="0.55000000000000004">
      <c r="A194" s="6">
        <v>43114.390972222223</v>
      </c>
      <c r="B194" s="1">
        <v>402.9</v>
      </c>
      <c r="C194" s="1">
        <v>1.4</v>
      </c>
      <c r="D194" s="1">
        <v>4.62</v>
      </c>
      <c r="E194" s="1">
        <v>9.2399999999999999E-3</v>
      </c>
      <c r="F194" s="1">
        <v>14.9</v>
      </c>
      <c r="G194" s="1">
        <v>8.8000000000000007</v>
      </c>
    </row>
    <row r="195" spans="1:7" x14ac:dyDescent="0.55000000000000004">
      <c r="A195" s="6">
        <v>43114.401388888888</v>
      </c>
      <c r="B195" s="1">
        <v>397.4</v>
      </c>
      <c r="C195" s="1">
        <v>1.6</v>
      </c>
      <c r="D195" s="1">
        <v>4.6100000000000003</v>
      </c>
      <c r="E195" s="1">
        <v>1.383E-2</v>
      </c>
      <c r="F195" s="1">
        <v>13.7</v>
      </c>
      <c r="G195" s="1">
        <v>9.1999999999999993</v>
      </c>
    </row>
    <row r="196" spans="1:7" x14ac:dyDescent="0.55000000000000004">
      <c r="A196" s="6">
        <v>43114.411805555559</v>
      </c>
      <c r="B196" s="1">
        <v>402.7</v>
      </c>
      <c r="C196" s="1">
        <v>1.5</v>
      </c>
      <c r="D196" s="1">
        <v>4.62</v>
      </c>
      <c r="E196" s="1">
        <v>1.3859999999999999E-2</v>
      </c>
      <c r="F196" s="1">
        <v>14.5</v>
      </c>
      <c r="G196" s="1">
        <v>6.9</v>
      </c>
    </row>
    <row r="197" spans="1:7" x14ac:dyDescent="0.55000000000000004">
      <c r="A197" s="6">
        <v>43114.422222222223</v>
      </c>
      <c r="B197" s="1">
        <v>395.4</v>
      </c>
      <c r="C197" s="1">
        <v>1.5</v>
      </c>
      <c r="D197" s="1">
        <v>4.62</v>
      </c>
      <c r="E197" s="1">
        <v>1.3859999999999999E-2</v>
      </c>
      <c r="F197" s="1">
        <v>13.7</v>
      </c>
      <c r="G197" s="1">
        <v>8.6999999999999993</v>
      </c>
    </row>
    <row r="198" spans="1:7" x14ac:dyDescent="0.55000000000000004">
      <c r="A198" s="6">
        <v>43114.432638888888</v>
      </c>
      <c r="B198" s="1">
        <v>406</v>
      </c>
      <c r="C198" s="1">
        <v>1.3</v>
      </c>
      <c r="D198" s="1">
        <v>4.62</v>
      </c>
      <c r="E198" s="1">
        <v>1.3859999999999999E-2</v>
      </c>
      <c r="F198" s="1">
        <v>15.3</v>
      </c>
      <c r="G198" s="1">
        <v>10.199999999999999</v>
      </c>
    </row>
    <row r="199" spans="1:7" x14ac:dyDescent="0.55000000000000004">
      <c r="A199" s="6">
        <v>43114.450694444444</v>
      </c>
      <c r="B199" s="1">
        <v>400</v>
      </c>
      <c r="C199" s="1">
        <v>1.5</v>
      </c>
      <c r="D199" s="1">
        <v>4.62</v>
      </c>
      <c r="E199" s="1">
        <v>1.848E-2</v>
      </c>
      <c r="F199" s="1">
        <v>14.4</v>
      </c>
      <c r="G199" s="1">
        <v>9</v>
      </c>
    </row>
    <row r="200" spans="1:7" x14ac:dyDescent="0.55000000000000004">
      <c r="A200" s="6">
        <v>43114.461111111108</v>
      </c>
      <c r="B200" s="1">
        <v>398.2</v>
      </c>
      <c r="C200" s="1">
        <v>1.7</v>
      </c>
      <c r="D200" s="1">
        <v>4.6100000000000003</v>
      </c>
      <c r="E200" s="1">
        <v>9.2200000000000008E-3</v>
      </c>
      <c r="F200" s="1">
        <v>13.7</v>
      </c>
      <c r="G200" s="1">
        <v>11</v>
      </c>
    </row>
    <row r="201" spans="1:7" x14ac:dyDescent="0.55000000000000004">
      <c r="A201" s="6">
        <v>43114.47152777778</v>
      </c>
      <c r="B201" s="1">
        <v>402.3</v>
      </c>
      <c r="C201" s="1">
        <v>1.3</v>
      </c>
      <c r="D201" s="1">
        <v>4.62</v>
      </c>
      <c r="E201" s="1">
        <v>9.2399999999999999E-3</v>
      </c>
      <c r="F201" s="1">
        <v>13.9</v>
      </c>
      <c r="G201" s="1">
        <v>7.9</v>
      </c>
    </row>
    <row r="202" spans="1:7" x14ac:dyDescent="0.55000000000000004">
      <c r="A202" s="6">
        <v>43114.481944444444</v>
      </c>
      <c r="B202" s="1">
        <v>400.3</v>
      </c>
      <c r="C202" s="1">
        <v>1.2</v>
      </c>
      <c r="D202" s="1">
        <v>4.62</v>
      </c>
      <c r="E202" s="1">
        <v>9.2399999999999999E-3</v>
      </c>
      <c r="F202" s="1">
        <v>14</v>
      </c>
      <c r="G202" s="1">
        <v>6.9</v>
      </c>
    </row>
    <row r="203" spans="1:7" x14ac:dyDescent="0.55000000000000004">
      <c r="A203" s="6">
        <v>43114.492361111108</v>
      </c>
      <c r="B203" s="1">
        <v>397</v>
      </c>
      <c r="C203" s="1">
        <v>1.1000000000000001</v>
      </c>
      <c r="D203" s="1">
        <v>4.6100000000000003</v>
      </c>
      <c r="E203" s="1">
        <v>1.383E-2</v>
      </c>
      <c r="F203" s="1">
        <v>13.3</v>
      </c>
      <c r="G203" s="1">
        <v>5.7</v>
      </c>
    </row>
    <row r="204" spans="1:7" x14ac:dyDescent="0.55000000000000004">
      <c r="A204" s="6">
        <v>43114.50277777778</v>
      </c>
      <c r="B204" s="1">
        <v>405.4</v>
      </c>
      <c r="C204" s="1">
        <v>1.3</v>
      </c>
      <c r="D204" s="1">
        <v>4.6100000000000003</v>
      </c>
      <c r="E204" s="1">
        <v>9.2200000000000008E-3</v>
      </c>
      <c r="F204" s="1">
        <v>14.6</v>
      </c>
      <c r="G204" s="1">
        <v>8.9</v>
      </c>
    </row>
    <row r="205" spans="1:7" x14ac:dyDescent="0.55000000000000004">
      <c r="A205" s="6">
        <v>43114.513194444444</v>
      </c>
      <c r="B205" s="1">
        <v>396.1</v>
      </c>
      <c r="C205" s="1">
        <v>1.2</v>
      </c>
      <c r="D205" s="1">
        <v>4.6100000000000003</v>
      </c>
      <c r="E205" s="1">
        <v>9.2200000000000008E-3</v>
      </c>
      <c r="F205" s="1">
        <v>13</v>
      </c>
      <c r="G205" s="1">
        <v>6.3</v>
      </c>
    </row>
    <row r="206" spans="1:7" x14ac:dyDescent="0.55000000000000004">
      <c r="A206" s="6">
        <v>43114.523611111108</v>
      </c>
      <c r="B206" s="1">
        <v>397.1</v>
      </c>
      <c r="C206" s="1">
        <v>1.5</v>
      </c>
      <c r="D206" s="1">
        <v>4.6100000000000003</v>
      </c>
      <c r="E206" s="1">
        <v>9.2200000000000008E-3</v>
      </c>
      <c r="F206" s="1">
        <v>13.2</v>
      </c>
      <c r="G206" s="1">
        <v>8.1</v>
      </c>
    </row>
    <row r="207" spans="1:7" x14ac:dyDescent="0.55000000000000004">
      <c r="A207" s="6">
        <v>43114.534722222219</v>
      </c>
      <c r="B207" s="1">
        <v>398.9</v>
      </c>
      <c r="C207" s="1">
        <v>1.4</v>
      </c>
      <c r="D207" s="1">
        <v>4.62</v>
      </c>
      <c r="E207" s="1">
        <v>1.3859999999999999E-2</v>
      </c>
      <c r="F207" s="1">
        <v>13.5</v>
      </c>
      <c r="G207" s="1">
        <v>7.2</v>
      </c>
    </row>
    <row r="208" spans="1:7" x14ac:dyDescent="0.55000000000000004">
      <c r="A208" s="6">
        <v>43114.545138888891</v>
      </c>
      <c r="B208" s="1">
        <v>402.6</v>
      </c>
      <c r="C208" s="1">
        <v>1.8</v>
      </c>
      <c r="D208" s="1">
        <v>4.62</v>
      </c>
      <c r="E208" s="1">
        <v>1.3859999999999999E-2</v>
      </c>
      <c r="F208" s="1">
        <v>14.3</v>
      </c>
      <c r="G208" s="1">
        <v>8.6999999999999993</v>
      </c>
    </row>
    <row r="209" spans="1:7" x14ac:dyDescent="0.55000000000000004">
      <c r="A209" s="6">
        <v>43114.555555555555</v>
      </c>
      <c r="B209" s="1">
        <v>395.9</v>
      </c>
      <c r="C209" s="1">
        <v>1.2</v>
      </c>
      <c r="D209" s="1">
        <v>4.6100000000000003</v>
      </c>
      <c r="E209" s="1">
        <v>9.2200000000000008E-3</v>
      </c>
      <c r="F209" s="1">
        <v>13</v>
      </c>
      <c r="G209" s="1">
        <v>7.6</v>
      </c>
    </row>
    <row r="210" spans="1:7" x14ac:dyDescent="0.55000000000000004">
      <c r="A210" s="6">
        <v>43114.56527777778</v>
      </c>
      <c r="B210" s="1">
        <v>402.1</v>
      </c>
      <c r="C210" s="1">
        <v>1.3</v>
      </c>
      <c r="D210" s="1">
        <v>4.62</v>
      </c>
      <c r="E210" s="1">
        <v>9.2399999999999999E-3</v>
      </c>
      <c r="F210" s="1">
        <v>14.1</v>
      </c>
      <c r="G210" s="1">
        <v>7.6</v>
      </c>
    </row>
    <row r="211" spans="1:7" x14ac:dyDescent="0.55000000000000004">
      <c r="A211" s="6">
        <v>43114.575694444444</v>
      </c>
      <c r="B211" s="1">
        <v>401.1</v>
      </c>
      <c r="C211" s="1">
        <v>1.7</v>
      </c>
      <c r="D211" s="1">
        <v>4.62</v>
      </c>
      <c r="E211" s="1">
        <v>1.3859999999999999E-2</v>
      </c>
      <c r="F211" s="1">
        <v>14.1</v>
      </c>
      <c r="G211" s="1">
        <v>9.6999999999999993</v>
      </c>
    </row>
    <row r="212" spans="1:7" x14ac:dyDescent="0.55000000000000004">
      <c r="A212" s="6">
        <v>43114.586805555555</v>
      </c>
      <c r="B212" s="1">
        <v>397.5</v>
      </c>
      <c r="C212" s="1">
        <v>1.6</v>
      </c>
      <c r="D212" s="1">
        <v>4.6100000000000003</v>
      </c>
      <c r="E212" s="1">
        <v>1.8440000000000002E-2</v>
      </c>
      <c r="F212" s="1">
        <v>13.7</v>
      </c>
      <c r="G212" s="1">
        <v>7.5</v>
      </c>
    </row>
    <row r="213" spans="1:7" x14ac:dyDescent="0.55000000000000004">
      <c r="A213" s="6">
        <v>43114.597222222219</v>
      </c>
      <c r="B213" s="1">
        <v>397.7</v>
      </c>
      <c r="C213" s="1">
        <v>1.6</v>
      </c>
      <c r="D213" s="1">
        <v>4.6100000000000003</v>
      </c>
      <c r="E213" s="1">
        <v>1.8440000000000002E-2</v>
      </c>
      <c r="F213" s="1">
        <v>13.5</v>
      </c>
      <c r="G213" s="1">
        <v>10</v>
      </c>
    </row>
    <row r="214" spans="1:7" x14ac:dyDescent="0.55000000000000004">
      <c r="A214" s="6">
        <v>43114.607638831018</v>
      </c>
      <c r="B214" s="1">
        <v>402.5</v>
      </c>
      <c r="C214" s="1">
        <v>1.2</v>
      </c>
      <c r="D214" s="1">
        <v>4.62</v>
      </c>
      <c r="E214" s="1">
        <v>9.2399999999999999E-3</v>
      </c>
      <c r="F214" s="1">
        <v>14.7</v>
      </c>
      <c r="G214" s="1">
        <v>7.9</v>
      </c>
    </row>
    <row r="215" spans="1:7" x14ac:dyDescent="0.55000000000000004">
      <c r="A215" s="6">
        <v>43114.618055497682</v>
      </c>
      <c r="B215" s="1">
        <v>398.8</v>
      </c>
      <c r="C215" s="1">
        <v>1.1000000000000001</v>
      </c>
      <c r="D215" s="1">
        <v>4.62</v>
      </c>
      <c r="E215" s="1">
        <v>1.3859999999999999E-2</v>
      </c>
      <c r="F215" s="1">
        <v>13.7</v>
      </c>
      <c r="G215" s="1">
        <v>7.5</v>
      </c>
    </row>
    <row r="216" spans="1:7" x14ac:dyDescent="0.55000000000000004">
      <c r="A216" s="6">
        <v>43114.628472164353</v>
      </c>
      <c r="B216" s="1">
        <v>402.4</v>
      </c>
      <c r="C216" s="1">
        <v>1.1000000000000001</v>
      </c>
      <c r="D216" s="1">
        <v>4.6100000000000003</v>
      </c>
      <c r="E216" s="1">
        <v>9.2200000000000008E-3</v>
      </c>
      <c r="F216" s="1">
        <v>14.4</v>
      </c>
      <c r="G216" s="1">
        <v>5.9</v>
      </c>
    </row>
    <row r="217" spans="1:7" x14ac:dyDescent="0.55000000000000004">
      <c r="A217" s="6">
        <v>43114.638888888891</v>
      </c>
      <c r="B217" s="1">
        <v>397</v>
      </c>
      <c r="C217" s="1">
        <v>1.8</v>
      </c>
      <c r="D217" s="1">
        <v>4.6100000000000003</v>
      </c>
      <c r="E217" s="1">
        <v>1.383E-2</v>
      </c>
      <c r="F217" s="1">
        <v>13.7</v>
      </c>
      <c r="G217" s="1">
        <v>10.199999999999999</v>
      </c>
    </row>
    <row r="218" spans="1:7" x14ac:dyDescent="0.55000000000000004">
      <c r="A218" s="6">
        <v>43114.648611111108</v>
      </c>
      <c r="B218" s="1">
        <v>397.9</v>
      </c>
      <c r="C218" s="1">
        <v>1.4</v>
      </c>
      <c r="D218" s="1">
        <v>4.6100000000000003</v>
      </c>
      <c r="E218" s="1">
        <v>1.383E-2</v>
      </c>
      <c r="F218" s="1">
        <v>13.2</v>
      </c>
      <c r="G218" s="1">
        <v>8.6</v>
      </c>
    </row>
    <row r="219" spans="1:7" x14ac:dyDescent="0.55000000000000004">
      <c r="A219" s="6">
        <v>43114.65902777778</v>
      </c>
      <c r="B219" s="1">
        <v>403.3</v>
      </c>
      <c r="C219" s="1">
        <v>1.2</v>
      </c>
      <c r="D219" s="1">
        <v>4.62</v>
      </c>
      <c r="E219" s="1">
        <v>1.3859999999999999E-2</v>
      </c>
      <c r="F219" s="1">
        <v>14.8</v>
      </c>
      <c r="G219" s="1">
        <v>9.3000000000000007</v>
      </c>
    </row>
    <row r="220" spans="1:7" x14ac:dyDescent="0.55000000000000004">
      <c r="A220" s="6"/>
    </row>
    <row r="221" spans="1:7" x14ac:dyDescent="0.55000000000000004">
      <c r="A221" s="6">
        <v>43114.669444502317</v>
      </c>
      <c r="B221" s="1">
        <v>396.2</v>
      </c>
      <c r="C221" s="1">
        <v>1.7</v>
      </c>
      <c r="D221" s="1">
        <v>4.6100000000000003</v>
      </c>
      <c r="E221" s="1">
        <v>1.383E-2</v>
      </c>
      <c r="F221" s="1">
        <v>14.5</v>
      </c>
      <c r="G221" s="1">
        <v>10.9</v>
      </c>
    </row>
    <row r="222" spans="1:7" x14ac:dyDescent="0.55000000000000004">
      <c r="A222" s="6">
        <v>43114.680555555555</v>
      </c>
      <c r="B222" s="1">
        <v>402.5</v>
      </c>
      <c r="C222" s="1">
        <v>1.5</v>
      </c>
      <c r="D222" s="1">
        <v>4.62</v>
      </c>
      <c r="E222" s="1">
        <v>1.3859999999999999E-2</v>
      </c>
      <c r="F222" s="1">
        <v>14.5</v>
      </c>
      <c r="G222" s="1">
        <v>10.9</v>
      </c>
    </row>
    <row r="223" spans="1:7" x14ac:dyDescent="0.55000000000000004">
      <c r="A223" s="6">
        <v>43114.69027777778</v>
      </c>
      <c r="B223" s="1">
        <v>405</v>
      </c>
      <c r="C223" s="1">
        <v>1.4</v>
      </c>
      <c r="D223" s="1">
        <v>4.62</v>
      </c>
      <c r="E223" s="1">
        <v>1.3859999999999999E-2</v>
      </c>
      <c r="F223" s="1">
        <v>14.7</v>
      </c>
      <c r="G223" s="1">
        <v>8.1999999999999993</v>
      </c>
    </row>
    <row r="224" spans="1:7" x14ac:dyDescent="0.55000000000000004">
      <c r="A224" s="6">
        <v>43114.700694444444</v>
      </c>
      <c r="B224" s="1">
        <v>393.6</v>
      </c>
      <c r="C224" s="1">
        <v>1.5</v>
      </c>
      <c r="D224" s="1">
        <v>4.6100000000000003</v>
      </c>
      <c r="E224" s="1">
        <v>1.383E-2</v>
      </c>
      <c r="F224" s="1">
        <v>12.9</v>
      </c>
      <c r="G224" s="1">
        <v>9.6</v>
      </c>
    </row>
    <row r="225" spans="1:7" x14ac:dyDescent="0.55000000000000004">
      <c r="A225" s="6">
        <v>43114.711111111108</v>
      </c>
      <c r="B225" s="1">
        <v>399.8</v>
      </c>
      <c r="C225" s="1">
        <v>1.8</v>
      </c>
      <c r="D225" s="1">
        <v>4.62</v>
      </c>
      <c r="E225" s="1">
        <v>1.3859999999999999E-2</v>
      </c>
      <c r="F225" s="1">
        <v>13.7</v>
      </c>
      <c r="G225" s="1">
        <v>12.1</v>
      </c>
    </row>
    <row r="226" spans="1:7" x14ac:dyDescent="0.55000000000000004">
      <c r="A226" s="6">
        <v>43114.722222222219</v>
      </c>
      <c r="B226" s="1">
        <v>398.6</v>
      </c>
      <c r="C226" s="1">
        <v>1.5</v>
      </c>
      <c r="D226" s="1">
        <v>4.6100000000000003</v>
      </c>
      <c r="E226" s="1">
        <v>9.2200000000000008E-3</v>
      </c>
      <c r="F226" s="1">
        <v>14.1</v>
      </c>
      <c r="G226" s="1">
        <v>11.9</v>
      </c>
    </row>
    <row r="227" spans="1:7" x14ac:dyDescent="0.55000000000000004">
      <c r="A227" s="6">
        <v>43114.732638888891</v>
      </c>
      <c r="B227" s="1">
        <v>401.7</v>
      </c>
      <c r="C227" s="1">
        <v>1.3</v>
      </c>
      <c r="D227" s="1">
        <v>4.62</v>
      </c>
      <c r="E227" s="1">
        <v>1.3859999999999999E-2</v>
      </c>
      <c r="F227" s="1">
        <v>14</v>
      </c>
      <c r="G227" s="1">
        <v>8.5</v>
      </c>
    </row>
    <row r="228" spans="1:7" x14ac:dyDescent="0.55000000000000004">
      <c r="A228" s="6">
        <v>43114.747916666667</v>
      </c>
      <c r="B228" s="1">
        <v>401.7</v>
      </c>
      <c r="C228" s="1">
        <v>1</v>
      </c>
      <c r="D228" s="1">
        <v>4.62</v>
      </c>
      <c r="E228" s="1">
        <v>9.2399999999999999E-3</v>
      </c>
      <c r="F228" s="1">
        <v>14.2</v>
      </c>
      <c r="G228" s="1">
        <v>6.2</v>
      </c>
    </row>
    <row r="229" spans="1:7" x14ac:dyDescent="0.55000000000000004">
      <c r="A229" s="6">
        <v>43114.758333333331</v>
      </c>
      <c r="B229" s="1">
        <v>399.9</v>
      </c>
      <c r="C229" s="1">
        <v>1.5</v>
      </c>
      <c r="D229" s="1">
        <v>4.62</v>
      </c>
      <c r="E229" s="1">
        <v>9.2399999999999999E-3</v>
      </c>
      <c r="F229" s="1">
        <v>13.8</v>
      </c>
      <c r="G229" s="1">
        <v>9.3000000000000007</v>
      </c>
    </row>
    <row r="230" spans="1:7" x14ac:dyDescent="0.55000000000000004">
      <c r="A230" s="6">
        <v>43114.768750000003</v>
      </c>
      <c r="B230" s="1">
        <v>400.9</v>
      </c>
      <c r="C230" s="1">
        <v>1.6</v>
      </c>
      <c r="D230" s="1">
        <v>4.62</v>
      </c>
      <c r="E230" s="1">
        <v>1.3859999999999999E-2</v>
      </c>
      <c r="F230" s="1">
        <v>13.5</v>
      </c>
      <c r="G230" s="1">
        <v>12.3</v>
      </c>
    </row>
    <row r="231" spans="1:7" x14ac:dyDescent="0.55000000000000004">
      <c r="A231" s="6">
        <v>43114.779166666667</v>
      </c>
      <c r="B231" s="1">
        <v>400.7</v>
      </c>
      <c r="C231" s="1">
        <v>1.1000000000000001</v>
      </c>
      <c r="D231" s="1">
        <v>4.62</v>
      </c>
      <c r="E231" s="1">
        <v>9.2399999999999999E-3</v>
      </c>
      <c r="F231" s="1">
        <v>13.9</v>
      </c>
      <c r="G231" s="1">
        <v>6.5</v>
      </c>
    </row>
    <row r="232" spans="1:7" x14ac:dyDescent="0.55000000000000004">
      <c r="A232" s="6">
        <v>43114.789583333331</v>
      </c>
      <c r="B232" s="1">
        <v>399.9</v>
      </c>
      <c r="C232" s="1">
        <v>1.6</v>
      </c>
      <c r="D232" s="1">
        <v>4.62</v>
      </c>
      <c r="E232" s="1">
        <v>1.3859999999999999E-2</v>
      </c>
      <c r="F232" s="1">
        <v>13.9</v>
      </c>
      <c r="G232" s="1">
        <v>8.4</v>
      </c>
    </row>
    <row r="233" spans="1:7" x14ac:dyDescent="0.55000000000000004">
      <c r="A233" s="6">
        <v>43114.8</v>
      </c>
      <c r="B233" s="1">
        <v>398.6</v>
      </c>
      <c r="C233" s="1">
        <v>1.7</v>
      </c>
      <c r="D233" s="1">
        <v>4.62</v>
      </c>
      <c r="E233" s="1">
        <v>1.3859999999999999E-2</v>
      </c>
      <c r="F233" s="1">
        <v>13.5</v>
      </c>
      <c r="G233" s="1">
        <v>10.6</v>
      </c>
    </row>
    <row r="234" spans="1:7" x14ac:dyDescent="0.55000000000000004">
      <c r="A234" s="6">
        <v>43114.810416666667</v>
      </c>
      <c r="B234" s="1">
        <v>401.9</v>
      </c>
      <c r="C234" s="1">
        <v>0.8</v>
      </c>
      <c r="D234" s="1">
        <v>4.62</v>
      </c>
      <c r="E234" s="1">
        <v>9.2399999999999999E-3</v>
      </c>
      <c r="F234" s="1">
        <v>13.8</v>
      </c>
      <c r="G234" s="1">
        <v>6</v>
      </c>
    </row>
    <row r="235" spans="1:7" x14ac:dyDescent="0.55000000000000004">
      <c r="A235" s="6">
        <v>43114.820833333331</v>
      </c>
      <c r="B235" s="1">
        <v>399.8</v>
      </c>
      <c r="C235" s="1">
        <v>1.2</v>
      </c>
      <c r="D235" s="1">
        <v>4.62</v>
      </c>
      <c r="E235" s="1">
        <v>1.3859999999999999E-2</v>
      </c>
      <c r="F235" s="1">
        <v>13.5</v>
      </c>
      <c r="G235" s="1">
        <v>7</v>
      </c>
    </row>
    <row r="236" spans="1:7" x14ac:dyDescent="0.55000000000000004">
      <c r="A236" s="6">
        <v>43114.831250000003</v>
      </c>
      <c r="B236" s="1">
        <v>398.7</v>
      </c>
      <c r="C236" s="1">
        <v>1.8</v>
      </c>
      <c r="D236" s="1">
        <v>4.62</v>
      </c>
      <c r="E236" s="1">
        <v>1.848E-2</v>
      </c>
      <c r="F236" s="1">
        <v>13.3</v>
      </c>
      <c r="G236" s="1">
        <v>8.6999999999999993</v>
      </c>
    </row>
    <row r="237" spans="1:7" x14ac:dyDescent="0.55000000000000004">
      <c r="A237" s="6">
        <v>43114.841666666667</v>
      </c>
      <c r="B237" s="1">
        <v>395.6</v>
      </c>
      <c r="C237" s="1">
        <v>1.4</v>
      </c>
      <c r="D237" s="1">
        <v>4.6100000000000003</v>
      </c>
      <c r="E237" s="1">
        <v>1.383E-2</v>
      </c>
      <c r="F237" s="1">
        <v>13.2</v>
      </c>
      <c r="G237" s="1">
        <v>8.6</v>
      </c>
    </row>
    <row r="238" spans="1:7" x14ac:dyDescent="0.55000000000000004">
      <c r="A238" s="6">
        <v>43114.852777777778</v>
      </c>
      <c r="B238" s="1">
        <v>400.8</v>
      </c>
      <c r="C238" s="1">
        <v>1.5</v>
      </c>
      <c r="D238" s="1">
        <v>4.62</v>
      </c>
      <c r="E238" s="1">
        <v>1.3859999999999999E-2</v>
      </c>
      <c r="F238" s="1">
        <v>14.3</v>
      </c>
      <c r="G238" s="1">
        <v>8.9</v>
      </c>
    </row>
    <row r="239" spans="1:7" x14ac:dyDescent="0.55000000000000004">
      <c r="A239" s="6">
        <v>43114.863194444442</v>
      </c>
      <c r="B239" s="1">
        <v>406.2</v>
      </c>
      <c r="C239" s="1">
        <v>1</v>
      </c>
      <c r="D239" s="1">
        <v>4.63</v>
      </c>
      <c r="E239" s="1">
        <v>1.389E-2</v>
      </c>
      <c r="F239" s="1">
        <v>14.7</v>
      </c>
      <c r="G239" s="1">
        <v>5.2</v>
      </c>
    </row>
    <row r="240" spans="1:7" x14ac:dyDescent="0.55000000000000004">
      <c r="A240" s="6">
        <v>43114.872916666667</v>
      </c>
      <c r="B240" s="1">
        <v>394.5</v>
      </c>
      <c r="C240" s="1">
        <v>1.2</v>
      </c>
      <c r="D240" s="1">
        <v>4.6100000000000003</v>
      </c>
      <c r="E240" s="1">
        <v>9.2200000000000008E-3</v>
      </c>
      <c r="F240" s="1">
        <v>13.1</v>
      </c>
      <c r="G240" s="1">
        <v>6.9</v>
      </c>
    </row>
    <row r="241" spans="1:7" x14ac:dyDescent="0.55000000000000004">
      <c r="A241" s="6">
        <v>43114.883333333331</v>
      </c>
      <c r="B241" s="1">
        <v>398.5</v>
      </c>
      <c r="C241" s="1">
        <v>2.1</v>
      </c>
      <c r="D241" s="1">
        <v>4.6100000000000003</v>
      </c>
      <c r="E241" s="1">
        <v>1.383E-2</v>
      </c>
      <c r="F241" s="1">
        <v>14</v>
      </c>
      <c r="G241" s="1">
        <v>11.5</v>
      </c>
    </row>
    <row r="242" spans="1:7" x14ac:dyDescent="0.55000000000000004">
      <c r="A242" s="6">
        <v>43114.893750000003</v>
      </c>
      <c r="B242" s="1">
        <v>401.1</v>
      </c>
      <c r="C242" s="1">
        <v>1.1000000000000001</v>
      </c>
      <c r="D242" s="1">
        <v>4.62</v>
      </c>
      <c r="E242" s="1">
        <v>1.3859999999999999E-2</v>
      </c>
      <c r="F242" s="1">
        <v>14.1</v>
      </c>
      <c r="G242" s="1">
        <v>5.8</v>
      </c>
    </row>
    <row r="243" spans="1:7" x14ac:dyDescent="0.55000000000000004">
      <c r="A243" s="6">
        <v>43114.904166666667</v>
      </c>
      <c r="B243" s="1">
        <v>402.6</v>
      </c>
      <c r="C243" s="1">
        <v>1.3</v>
      </c>
      <c r="D243" s="1">
        <v>4.62</v>
      </c>
      <c r="E243" s="1">
        <v>1.3859999999999999E-2</v>
      </c>
      <c r="F243" s="1">
        <v>14.3</v>
      </c>
      <c r="G243" s="1">
        <v>8.9</v>
      </c>
    </row>
    <row r="244" spans="1:7" x14ac:dyDescent="0.55000000000000004">
      <c r="A244" s="6">
        <v>43114.915277777778</v>
      </c>
      <c r="B244" s="1">
        <v>396.2</v>
      </c>
      <c r="C244" s="1">
        <v>1.1000000000000001</v>
      </c>
      <c r="D244" s="1">
        <v>4.6100000000000003</v>
      </c>
      <c r="E244" s="1">
        <v>4.6100000000000004E-3</v>
      </c>
      <c r="F244" s="1">
        <v>13.8</v>
      </c>
      <c r="G244" s="1">
        <v>7.7</v>
      </c>
    </row>
    <row r="245" spans="1:7" x14ac:dyDescent="0.55000000000000004">
      <c r="A245" s="6">
        <v>43114.925000000003</v>
      </c>
      <c r="B245" s="1">
        <v>398.5</v>
      </c>
      <c r="C245" s="1">
        <v>1.3</v>
      </c>
      <c r="D245" s="1">
        <v>4.62</v>
      </c>
      <c r="E245" s="1">
        <v>9.2399999999999999E-3</v>
      </c>
      <c r="F245" s="1">
        <v>13.6</v>
      </c>
      <c r="G245" s="1">
        <v>7.5</v>
      </c>
    </row>
    <row r="246" spans="1:7" x14ac:dyDescent="0.55000000000000004">
      <c r="A246" s="6">
        <v>43114.935416666667</v>
      </c>
      <c r="B246" s="1">
        <v>396.8</v>
      </c>
      <c r="C246" s="1">
        <v>1.9</v>
      </c>
      <c r="D246" s="1">
        <v>4.6100000000000003</v>
      </c>
      <c r="E246" s="1">
        <v>1.8440000000000002E-2</v>
      </c>
      <c r="F246" s="1">
        <v>13.7</v>
      </c>
      <c r="G246" s="1">
        <v>10</v>
      </c>
    </row>
    <row r="247" spans="1:7" x14ac:dyDescent="0.55000000000000004">
      <c r="A247" s="6">
        <v>43114.945833333331</v>
      </c>
      <c r="B247" s="1">
        <v>403.2</v>
      </c>
      <c r="C247" s="1">
        <v>1.1000000000000001</v>
      </c>
      <c r="D247" s="1">
        <v>4.62</v>
      </c>
      <c r="E247" s="1">
        <v>1.3859999999999999E-2</v>
      </c>
      <c r="F247" s="1">
        <v>15.2</v>
      </c>
      <c r="G247" s="1">
        <v>8.1999999999999993</v>
      </c>
    </row>
    <row r="248" spans="1:7" x14ac:dyDescent="0.55000000000000004">
      <c r="A248" s="6">
        <v>43114.956944444442</v>
      </c>
      <c r="B248" s="1">
        <v>399.4</v>
      </c>
      <c r="C248" s="1">
        <v>1.3</v>
      </c>
      <c r="D248" s="1">
        <v>4.6100000000000003</v>
      </c>
      <c r="E248" s="1">
        <v>1.383E-2</v>
      </c>
      <c r="F248" s="1">
        <v>14.4</v>
      </c>
      <c r="G248" s="1">
        <v>8.5</v>
      </c>
    </row>
    <row r="249" spans="1:7" x14ac:dyDescent="0.55000000000000004">
      <c r="A249" s="6">
        <v>43114.967361111114</v>
      </c>
      <c r="B249" s="1">
        <v>398.8</v>
      </c>
      <c r="C249" s="1">
        <v>1.4</v>
      </c>
      <c r="D249" s="1">
        <v>4.6100000000000003</v>
      </c>
      <c r="E249" s="1">
        <v>9.2200000000000008E-3</v>
      </c>
      <c r="F249" s="1">
        <v>14.3</v>
      </c>
      <c r="G249" s="1">
        <v>10.3</v>
      </c>
    </row>
    <row r="250" spans="1:7" x14ac:dyDescent="0.55000000000000004">
      <c r="A250" s="6">
        <v>43114.977777777778</v>
      </c>
      <c r="B250" s="1">
        <v>402.3</v>
      </c>
      <c r="C250" s="1">
        <v>1.2</v>
      </c>
      <c r="D250" s="1">
        <v>4.6100000000000003</v>
      </c>
      <c r="E250" s="1">
        <v>1.383E-2</v>
      </c>
      <c r="F250" s="1">
        <v>14.6</v>
      </c>
      <c r="G250" s="1">
        <v>8.1999999999999993</v>
      </c>
    </row>
    <row r="251" spans="1:7" x14ac:dyDescent="0.55000000000000004">
      <c r="A251" s="6">
        <v>43114.987500000003</v>
      </c>
      <c r="B251" s="1">
        <v>394.4</v>
      </c>
      <c r="C251" s="1">
        <v>1.4</v>
      </c>
      <c r="D251" s="1">
        <v>4.5999999999999996</v>
      </c>
      <c r="E251" s="1">
        <v>9.1999999999999998E-3</v>
      </c>
      <c r="F251" s="1">
        <v>13.7</v>
      </c>
      <c r="G251" s="1">
        <v>6.9</v>
      </c>
    </row>
    <row r="252" spans="1:7" x14ac:dyDescent="0.55000000000000004">
      <c r="A252" s="6">
        <v>43115.000694444447</v>
      </c>
      <c r="B252" s="1">
        <v>401.8</v>
      </c>
      <c r="C252" s="1">
        <v>1.7</v>
      </c>
      <c r="D252" s="1">
        <v>4.62</v>
      </c>
      <c r="E252" s="1">
        <v>1.3859999999999999E-2</v>
      </c>
      <c r="F252" s="1">
        <v>14.6</v>
      </c>
      <c r="G252" s="1">
        <v>7</v>
      </c>
    </row>
    <row r="253" spans="1:7" x14ac:dyDescent="0.55000000000000004">
      <c r="A253" s="6">
        <v>43115.012499999997</v>
      </c>
      <c r="B253" s="1">
        <v>402.3</v>
      </c>
      <c r="C253" s="1">
        <v>1.3</v>
      </c>
      <c r="D253" s="1">
        <v>4.62</v>
      </c>
      <c r="E253" s="1">
        <v>1.3859999999999999E-2</v>
      </c>
      <c r="F253" s="1">
        <v>15.3</v>
      </c>
      <c r="G253" s="1">
        <v>9.1999999999999993</v>
      </c>
    </row>
    <row r="254" spans="1:7" x14ac:dyDescent="0.55000000000000004">
      <c r="A254" s="6">
        <v>43115.023611111108</v>
      </c>
      <c r="B254" s="1">
        <v>396.5</v>
      </c>
      <c r="C254" s="1">
        <v>1.7</v>
      </c>
      <c r="D254" s="1">
        <v>4.6100000000000003</v>
      </c>
      <c r="E254" s="1">
        <v>1.383E-2</v>
      </c>
      <c r="F254" s="1">
        <v>14.2</v>
      </c>
      <c r="G254" s="1">
        <v>9.1999999999999993</v>
      </c>
    </row>
    <row r="255" spans="1:7" x14ac:dyDescent="0.55000000000000004">
      <c r="A255" s="6">
        <v>43115.03402777778</v>
      </c>
      <c r="B255" s="1">
        <v>403.9</v>
      </c>
      <c r="C255" s="1">
        <v>1.4</v>
      </c>
      <c r="D255" s="1">
        <v>4.62</v>
      </c>
      <c r="E255" s="1">
        <v>1.3859999999999999E-2</v>
      </c>
      <c r="F255" s="1">
        <v>15.7</v>
      </c>
      <c r="G255" s="1">
        <v>9.4</v>
      </c>
    </row>
    <row r="256" spans="1:7" x14ac:dyDescent="0.55000000000000004">
      <c r="A256" s="6">
        <v>43115.044444444444</v>
      </c>
      <c r="B256" s="1">
        <v>398</v>
      </c>
      <c r="C256" s="1">
        <v>1.2</v>
      </c>
      <c r="D256" s="1">
        <v>4.6100000000000003</v>
      </c>
      <c r="E256" s="1">
        <v>4.6100000000000004E-3</v>
      </c>
      <c r="F256" s="1">
        <v>14.5</v>
      </c>
      <c r="G256" s="1">
        <v>7</v>
      </c>
    </row>
    <row r="257" spans="1:7" x14ac:dyDescent="0.55000000000000004">
      <c r="A257" s="6">
        <v>43115.054166666669</v>
      </c>
      <c r="B257" s="1">
        <v>398.2</v>
      </c>
      <c r="C257" s="1">
        <v>1.4</v>
      </c>
      <c r="D257" s="1">
        <v>4.6100000000000003</v>
      </c>
      <c r="E257" s="1">
        <v>1.383E-2</v>
      </c>
      <c r="F257" s="1">
        <v>14.5</v>
      </c>
      <c r="G257" s="1">
        <v>9</v>
      </c>
    </row>
    <row r="258" spans="1:7" x14ac:dyDescent="0.55000000000000004">
      <c r="A258" s="6">
        <v>43115.069444444445</v>
      </c>
      <c r="B258" s="1">
        <v>403.5</v>
      </c>
      <c r="C258" s="1">
        <v>1.1000000000000001</v>
      </c>
      <c r="D258" s="1">
        <v>4.62</v>
      </c>
      <c r="E258" s="1">
        <v>1.3859999999999999E-2</v>
      </c>
      <c r="F258" s="1">
        <v>15.2</v>
      </c>
      <c r="G258" s="1">
        <v>6.9</v>
      </c>
    </row>
    <row r="259" spans="1:7" x14ac:dyDescent="0.55000000000000004">
      <c r="A259" s="6">
        <v>43115.080555555556</v>
      </c>
      <c r="B259" s="1">
        <v>401.2</v>
      </c>
      <c r="C259" s="1">
        <v>1.8</v>
      </c>
      <c r="D259" s="1">
        <v>4.62</v>
      </c>
      <c r="E259" s="1">
        <v>1.848E-2</v>
      </c>
      <c r="F259" s="1">
        <v>14.8</v>
      </c>
      <c r="G259" s="1">
        <v>8.9</v>
      </c>
    </row>
    <row r="260" spans="1:7" x14ac:dyDescent="0.55000000000000004">
      <c r="A260" s="6">
        <v>43115.09097222222</v>
      </c>
      <c r="B260" s="1">
        <v>395.6</v>
      </c>
      <c r="C260" s="1">
        <v>1.8</v>
      </c>
      <c r="D260" s="1">
        <v>4.6100000000000003</v>
      </c>
      <c r="E260" s="1">
        <v>1.383E-2</v>
      </c>
      <c r="F260" s="1">
        <v>13.9</v>
      </c>
      <c r="G260" s="1">
        <v>9</v>
      </c>
    </row>
    <row r="261" spans="1:7" x14ac:dyDescent="0.55000000000000004">
      <c r="A261" s="6">
        <v>43115.101388888892</v>
      </c>
      <c r="B261" s="1">
        <v>406</v>
      </c>
      <c r="C261" s="1">
        <v>1.6</v>
      </c>
      <c r="D261" s="1">
        <v>4.63</v>
      </c>
      <c r="E261" s="1">
        <v>1.389E-2</v>
      </c>
      <c r="F261" s="1">
        <v>15.9</v>
      </c>
      <c r="G261" s="1">
        <v>7.3</v>
      </c>
    </row>
    <row r="262" spans="1:7" x14ac:dyDescent="0.55000000000000004">
      <c r="A262" s="6">
        <v>43115.112500000003</v>
      </c>
      <c r="B262" s="1">
        <v>397.9</v>
      </c>
      <c r="C262" s="1">
        <v>2.2000000000000002</v>
      </c>
      <c r="D262" s="1">
        <v>4.5999999999999996</v>
      </c>
      <c r="E262" s="1">
        <v>9.1999999999999998E-3</v>
      </c>
      <c r="F262" s="1">
        <v>13.2</v>
      </c>
      <c r="G262" s="1">
        <v>11.9</v>
      </c>
    </row>
    <row r="263" spans="1:7" x14ac:dyDescent="0.55000000000000004">
      <c r="A263" s="6">
        <v>43115.122916666667</v>
      </c>
      <c r="B263" s="1">
        <v>400.4</v>
      </c>
      <c r="C263" s="1">
        <v>1.5</v>
      </c>
      <c r="D263" s="1">
        <v>4.62</v>
      </c>
      <c r="E263" s="1">
        <v>1.3859999999999999E-2</v>
      </c>
      <c r="F263" s="1">
        <v>15.1</v>
      </c>
      <c r="G263" s="1">
        <v>11.3</v>
      </c>
    </row>
    <row r="264" spans="1:7" x14ac:dyDescent="0.55000000000000004">
      <c r="A264" s="6">
        <v>43115.133333333331</v>
      </c>
      <c r="B264" s="1">
        <v>404.1</v>
      </c>
      <c r="C264" s="1">
        <v>1.5</v>
      </c>
      <c r="D264" s="1">
        <v>4.63</v>
      </c>
      <c r="E264" s="1">
        <v>1.389E-2</v>
      </c>
      <c r="F264" s="1">
        <v>15.6</v>
      </c>
      <c r="G264" s="1">
        <v>10.6</v>
      </c>
    </row>
    <row r="265" spans="1:7" x14ac:dyDescent="0.55000000000000004">
      <c r="A265" s="6">
        <v>43115.143750000003</v>
      </c>
      <c r="B265" s="1">
        <v>404</v>
      </c>
      <c r="C265" s="1">
        <v>1.4</v>
      </c>
      <c r="D265" s="1">
        <v>4.62</v>
      </c>
      <c r="E265" s="1">
        <v>1.3859999999999999E-2</v>
      </c>
      <c r="F265" s="1">
        <v>15</v>
      </c>
      <c r="G265" s="1">
        <v>9.5</v>
      </c>
    </row>
    <row r="266" spans="1:7" x14ac:dyDescent="0.55000000000000004">
      <c r="A266" s="6">
        <v>43115.154861111114</v>
      </c>
      <c r="B266" s="1">
        <v>396.9</v>
      </c>
      <c r="C266" s="1">
        <v>1.4</v>
      </c>
      <c r="D266" s="1">
        <v>4.6100000000000003</v>
      </c>
      <c r="E266" s="1">
        <v>1.383E-2</v>
      </c>
      <c r="F266" s="1">
        <v>13.9</v>
      </c>
      <c r="G266" s="1">
        <v>7.5</v>
      </c>
    </row>
    <row r="267" spans="1:7" x14ac:dyDescent="0.55000000000000004">
      <c r="A267" s="6">
        <v>43115.166666666664</v>
      </c>
      <c r="B267" s="1">
        <v>402.5</v>
      </c>
      <c r="C267" s="1">
        <v>1.5</v>
      </c>
      <c r="D267" s="1">
        <v>4.62</v>
      </c>
      <c r="E267" s="1">
        <v>1.3859999999999999E-2</v>
      </c>
      <c r="F267" s="1">
        <v>14.7</v>
      </c>
      <c r="G267" s="1">
        <v>9.1999999999999993</v>
      </c>
    </row>
    <row r="268" spans="1:7" x14ac:dyDescent="0.55000000000000004">
      <c r="A268" s="6">
        <v>43115.177083333336</v>
      </c>
      <c r="B268" s="1">
        <v>398</v>
      </c>
      <c r="C268" s="1">
        <v>1.5</v>
      </c>
      <c r="D268" s="1">
        <v>4.6100000000000003</v>
      </c>
      <c r="E268" s="1">
        <v>1.383E-2</v>
      </c>
      <c r="F268" s="1">
        <v>13.8</v>
      </c>
      <c r="G268" s="1">
        <v>8.9</v>
      </c>
    </row>
    <row r="269" spans="1:7" x14ac:dyDescent="0.55000000000000004">
      <c r="A269" s="6"/>
    </row>
    <row r="270" spans="1:7" x14ac:dyDescent="0.55000000000000004">
      <c r="A270" s="6">
        <v>43115.1875</v>
      </c>
      <c r="B270" s="1">
        <v>402.2</v>
      </c>
      <c r="C270" s="1">
        <v>1.5</v>
      </c>
      <c r="D270" s="1">
        <v>4.62</v>
      </c>
      <c r="E270" s="1">
        <v>1.3859999999999999E-2</v>
      </c>
      <c r="F270" s="1">
        <v>14.6</v>
      </c>
      <c r="G270" s="1">
        <v>8.1</v>
      </c>
    </row>
    <row r="271" spans="1:7" x14ac:dyDescent="0.55000000000000004">
      <c r="A271" s="6">
        <v>43115.197916666664</v>
      </c>
      <c r="B271" s="1">
        <v>396</v>
      </c>
      <c r="C271" s="1">
        <v>1.4</v>
      </c>
      <c r="D271" s="1">
        <v>4.6100000000000003</v>
      </c>
      <c r="E271" s="1">
        <v>1.8440000000000002E-2</v>
      </c>
      <c r="F271" s="1">
        <v>13.8</v>
      </c>
      <c r="G271" s="1">
        <v>11.4</v>
      </c>
    </row>
    <row r="272" spans="1:7" x14ac:dyDescent="0.55000000000000004">
      <c r="A272" s="6">
        <v>43115.208333333336</v>
      </c>
      <c r="B272" s="1">
        <v>402.1</v>
      </c>
      <c r="C272" s="1">
        <v>1.4</v>
      </c>
      <c r="D272" s="1">
        <v>4.6100000000000003</v>
      </c>
      <c r="E272" s="1">
        <v>1.383E-2</v>
      </c>
      <c r="F272" s="1">
        <v>14.7</v>
      </c>
      <c r="G272" s="1">
        <v>10.1</v>
      </c>
    </row>
    <row r="273" spans="1:7" x14ac:dyDescent="0.55000000000000004">
      <c r="A273" s="6">
        <v>43115.21875</v>
      </c>
      <c r="B273" s="1">
        <v>401.9</v>
      </c>
      <c r="C273" s="1">
        <v>1.4</v>
      </c>
      <c r="D273" s="1">
        <v>4.62</v>
      </c>
      <c r="E273" s="1">
        <v>1.3859999999999999E-2</v>
      </c>
      <c r="F273" s="1">
        <v>14.3</v>
      </c>
      <c r="G273" s="1">
        <v>8.1</v>
      </c>
    </row>
    <row r="274" spans="1:7" x14ac:dyDescent="0.55000000000000004">
      <c r="A274" s="6">
        <v>43115.236805555556</v>
      </c>
      <c r="B274" s="1">
        <v>395.1</v>
      </c>
      <c r="C274" s="1">
        <v>1.2</v>
      </c>
      <c r="D274" s="1">
        <v>4.6100000000000003</v>
      </c>
      <c r="E274" s="1">
        <v>9.2200000000000008E-3</v>
      </c>
      <c r="F274" s="1">
        <v>13.3</v>
      </c>
      <c r="G274" s="1">
        <v>7.4</v>
      </c>
    </row>
    <row r="275" spans="1:7" x14ac:dyDescent="0.55000000000000004">
      <c r="A275" s="6">
        <v>43115.24722222222</v>
      </c>
      <c r="B275" s="1">
        <v>399.6</v>
      </c>
      <c r="C275" s="1">
        <v>1.6</v>
      </c>
      <c r="D275" s="1">
        <v>4.62</v>
      </c>
      <c r="E275" s="1">
        <v>1.3859999999999999E-2</v>
      </c>
      <c r="F275" s="1">
        <v>14.1</v>
      </c>
      <c r="G275" s="1">
        <v>8.6999999999999993</v>
      </c>
    </row>
    <row r="276" spans="1:7" x14ac:dyDescent="0.55000000000000004">
      <c r="A276" s="6">
        <v>43115.257638888892</v>
      </c>
      <c r="B276" s="1">
        <v>398.4</v>
      </c>
      <c r="C276" s="1">
        <v>1.7</v>
      </c>
      <c r="D276" s="1">
        <v>4.62</v>
      </c>
      <c r="E276" s="1">
        <v>1.848E-2</v>
      </c>
      <c r="F276" s="1">
        <v>14</v>
      </c>
      <c r="G276" s="1">
        <v>10.1</v>
      </c>
    </row>
    <row r="277" spans="1:7" x14ac:dyDescent="0.55000000000000004">
      <c r="A277" s="6">
        <v>43115.268055613429</v>
      </c>
      <c r="B277" s="1">
        <v>403.1</v>
      </c>
      <c r="C277" s="1">
        <v>1.2</v>
      </c>
      <c r="D277" s="1">
        <v>4.62</v>
      </c>
      <c r="E277" s="1">
        <v>1.3859999999999999E-2</v>
      </c>
      <c r="F277" s="1">
        <v>14.5</v>
      </c>
      <c r="G277" s="1">
        <v>7</v>
      </c>
    </row>
    <row r="278" spans="1:7" x14ac:dyDescent="0.55000000000000004">
      <c r="A278" s="6">
        <v>43115.278472337966</v>
      </c>
      <c r="B278" s="1">
        <v>405.4</v>
      </c>
      <c r="C278" s="1">
        <v>1.4</v>
      </c>
      <c r="D278" s="1">
        <v>4.63</v>
      </c>
      <c r="E278" s="1">
        <v>1.389E-2</v>
      </c>
      <c r="F278" s="1">
        <v>14.3</v>
      </c>
      <c r="G278" s="1">
        <v>7.9</v>
      </c>
    </row>
    <row r="279" spans="1:7" x14ac:dyDescent="0.55000000000000004">
      <c r="A279" s="6">
        <v>43115.289583333331</v>
      </c>
      <c r="B279" s="1">
        <v>394</v>
      </c>
      <c r="C279" s="1">
        <v>1.6</v>
      </c>
      <c r="D279" s="1">
        <v>4.6100000000000003</v>
      </c>
      <c r="E279" s="1">
        <v>1.8440000000000002E-2</v>
      </c>
      <c r="F279" s="1">
        <v>13</v>
      </c>
      <c r="G279" s="1">
        <v>8.3000000000000007</v>
      </c>
    </row>
    <row r="280" spans="1:7" x14ac:dyDescent="0.55000000000000004">
      <c r="A280" s="6">
        <v>43115.3</v>
      </c>
      <c r="B280" s="1">
        <v>397.9</v>
      </c>
      <c r="C280" s="1">
        <v>1.6</v>
      </c>
      <c r="D280" s="1">
        <v>4.6100000000000003</v>
      </c>
      <c r="E280" s="1">
        <v>9.2200000000000008E-3</v>
      </c>
      <c r="F280" s="1">
        <v>13.4</v>
      </c>
      <c r="G280" s="1">
        <v>8.9</v>
      </c>
    </row>
    <row r="281" spans="1:7" x14ac:dyDescent="0.55000000000000004">
      <c r="A281" s="6">
        <v>43115.3125</v>
      </c>
      <c r="B281" s="1">
        <v>397.2</v>
      </c>
      <c r="C281" s="1">
        <v>1.1000000000000001</v>
      </c>
      <c r="D281" s="1">
        <v>4.5999999999999996</v>
      </c>
      <c r="E281" s="1">
        <v>1.38E-2</v>
      </c>
      <c r="F281" s="1">
        <v>13.6</v>
      </c>
      <c r="G281" s="1">
        <v>6.9</v>
      </c>
    </row>
    <row r="282" spans="1:7" x14ac:dyDescent="0.55000000000000004">
      <c r="A282" s="6">
        <v>43115.320138888892</v>
      </c>
      <c r="B282" s="1">
        <v>400</v>
      </c>
      <c r="C282" s="1">
        <v>1.3</v>
      </c>
      <c r="D282" s="1">
        <v>4.62</v>
      </c>
      <c r="E282" s="1">
        <v>9.2399999999999999E-3</v>
      </c>
      <c r="F282" s="1">
        <v>14.2</v>
      </c>
      <c r="G282" s="1">
        <v>7.7</v>
      </c>
    </row>
    <row r="283" spans="1:7" x14ac:dyDescent="0.55000000000000004">
      <c r="A283" s="6">
        <v>43115.331250000003</v>
      </c>
      <c r="B283" s="1">
        <v>400.5</v>
      </c>
      <c r="C283" s="1">
        <v>1.3</v>
      </c>
      <c r="D283" s="1">
        <v>4.6100000000000003</v>
      </c>
      <c r="E283" s="1">
        <v>1.383E-2</v>
      </c>
      <c r="F283" s="1">
        <v>14.2</v>
      </c>
      <c r="G283" s="1">
        <v>7.6</v>
      </c>
    </row>
    <row r="284" spans="1:7" x14ac:dyDescent="0.55000000000000004">
      <c r="A284" s="6">
        <v>43115.34097222222</v>
      </c>
      <c r="B284" s="1">
        <v>398.7</v>
      </c>
      <c r="C284" s="1">
        <v>1.5</v>
      </c>
      <c r="D284" s="1">
        <v>4.6100000000000003</v>
      </c>
      <c r="E284" s="1">
        <v>1.383E-2</v>
      </c>
      <c r="F284" s="1">
        <v>13.5</v>
      </c>
      <c r="G284" s="1">
        <v>10</v>
      </c>
    </row>
    <row r="285" spans="1:7" x14ac:dyDescent="0.55000000000000004">
      <c r="A285" s="6">
        <v>43115.351388888892</v>
      </c>
      <c r="B285" s="1">
        <v>400.3</v>
      </c>
      <c r="C285" s="1">
        <v>1</v>
      </c>
      <c r="D285" s="1">
        <v>4.62</v>
      </c>
      <c r="E285" s="1">
        <v>1.3859999999999999E-2</v>
      </c>
      <c r="F285" s="1">
        <v>14.2</v>
      </c>
      <c r="G285" s="1">
        <v>6.8</v>
      </c>
    </row>
    <row r="286" spans="1:7" x14ac:dyDescent="0.55000000000000004">
      <c r="A286" s="6">
        <v>43115.361805555556</v>
      </c>
      <c r="B286" s="1">
        <v>404</v>
      </c>
      <c r="C286" s="1">
        <v>0.8</v>
      </c>
      <c r="D286" s="1">
        <v>4.62</v>
      </c>
      <c r="E286" s="1">
        <v>9.2399999999999999E-3</v>
      </c>
      <c r="F286" s="1">
        <v>14.8</v>
      </c>
      <c r="G286" s="1">
        <v>6.8</v>
      </c>
    </row>
    <row r="287" spans="1:7" x14ac:dyDescent="0.55000000000000004">
      <c r="A287" s="6">
        <v>43115.37222222222</v>
      </c>
      <c r="B287" s="1">
        <v>398.6</v>
      </c>
      <c r="C287" s="1">
        <v>0.8</v>
      </c>
      <c r="D287" s="1">
        <v>4.6100000000000003</v>
      </c>
      <c r="E287" s="1">
        <v>9.2200000000000008E-3</v>
      </c>
      <c r="F287" s="1">
        <v>13.7</v>
      </c>
      <c r="G287" s="1">
        <v>7.5</v>
      </c>
    </row>
    <row r="288" spans="1:7" x14ac:dyDescent="0.55000000000000004">
      <c r="A288" s="6">
        <v>43115.382638888892</v>
      </c>
      <c r="B288" s="1">
        <v>394</v>
      </c>
      <c r="C288" s="1">
        <v>1.5</v>
      </c>
      <c r="D288" s="1">
        <v>4.6100000000000003</v>
      </c>
      <c r="E288" s="1">
        <v>1.383E-2</v>
      </c>
      <c r="F288" s="1">
        <v>13.1</v>
      </c>
      <c r="G288" s="1">
        <v>8.8000000000000007</v>
      </c>
    </row>
    <row r="289" spans="1:7" x14ac:dyDescent="0.55000000000000004">
      <c r="A289" s="6">
        <v>43115.393055555556</v>
      </c>
      <c r="B289" s="1">
        <v>406.9</v>
      </c>
      <c r="C289" s="1">
        <v>1.4</v>
      </c>
      <c r="D289" s="1">
        <v>4.63</v>
      </c>
      <c r="E289" s="1">
        <v>1.389E-2</v>
      </c>
      <c r="F289" s="1">
        <v>14.9</v>
      </c>
      <c r="G289" s="1">
        <v>8.6</v>
      </c>
    </row>
    <row r="290" spans="1:7" x14ac:dyDescent="0.55000000000000004">
      <c r="A290" s="6">
        <v>43115.406944444447</v>
      </c>
      <c r="B290" s="1">
        <v>396.3</v>
      </c>
      <c r="C290" s="1">
        <v>1.3</v>
      </c>
      <c r="D290" s="1">
        <v>4.6100000000000003</v>
      </c>
      <c r="E290" s="1">
        <v>1.383E-2</v>
      </c>
      <c r="F290" s="1">
        <v>13.5</v>
      </c>
      <c r="G290" s="1">
        <v>7</v>
      </c>
    </row>
    <row r="291" spans="1:7" x14ac:dyDescent="0.55000000000000004">
      <c r="A291" s="6">
        <v>43115.417361111111</v>
      </c>
      <c r="B291" s="1">
        <v>402</v>
      </c>
      <c r="C291" s="1">
        <v>1.3</v>
      </c>
      <c r="D291" s="1">
        <v>4.62</v>
      </c>
      <c r="E291" s="1">
        <v>9.2399999999999999E-3</v>
      </c>
      <c r="F291" s="1">
        <v>14.4</v>
      </c>
      <c r="G291" s="1">
        <v>7.2</v>
      </c>
    </row>
    <row r="292" spans="1:7" x14ac:dyDescent="0.55000000000000004">
      <c r="A292" s="6">
        <v>43115.427777777775</v>
      </c>
      <c r="B292" s="1">
        <v>399.8</v>
      </c>
      <c r="C292" s="1">
        <v>1.4</v>
      </c>
      <c r="D292" s="1">
        <v>4.62</v>
      </c>
      <c r="E292" s="1">
        <v>1.3859999999999999E-2</v>
      </c>
      <c r="F292" s="1">
        <v>13</v>
      </c>
      <c r="G292" s="1">
        <v>8.8000000000000007</v>
      </c>
    </row>
    <row r="293" spans="1:7" x14ac:dyDescent="0.55000000000000004">
      <c r="A293" s="6">
        <v>43115.443055555559</v>
      </c>
      <c r="B293" s="1">
        <v>403.8</v>
      </c>
      <c r="C293" s="1">
        <v>1.5</v>
      </c>
      <c r="D293" s="1">
        <v>4.62</v>
      </c>
      <c r="E293" s="1">
        <v>1.3859999999999999E-2</v>
      </c>
      <c r="F293" s="1">
        <v>14.4</v>
      </c>
      <c r="G293" s="1">
        <v>9.6999999999999993</v>
      </c>
    </row>
    <row r="294" spans="1:7" x14ac:dyDescent="0.55000000000000004">
      <c r="A294" s="6">
        <v>43115.45416666667</v>
      </c>
      <c r="B294" s="1">
        <v>396.3</v>
      </c>
      <c r="C294" s="1">
        <v>1.1000000000000001</v>
      </c>
      <c r="D294" s="1">
        <v>4.6100000000000003</v>
      </c>
      <c r="E294" s="1">
        <v>9.2200000000000008E-3</v>
      </c>
      <c r="F294" s="1">
        <v>13.1</v>
      </c>
      <c r="G294" s="1">
        <v>6</v>
      </c>
    </row>
    <row r="295" spans="1:7" x14ac:dyDescent="0.55000000000000004">
      <c r="A295" s="6">
        <v>43115.464583333334</v>
      </c>
      <c r="B295" s="1">
        <v>396.8</v>
      </c>
      <c r="C295" s="1">
        <v>1.3</v>
      </c>
      <c r="D295" s="1">
        <v>4.6100000000000003</v>
      </c>
      <c r="E295" s="1">
        <v>1.383E-2</v>
      </c>
      <c r="F295" s="1">
        <v>14.6</v>
      </c>
      <c r="G295" s="1">
        <v>9.6</v>
      </c>
    </row>
    <row r="296" spans="1:7" x14ac:dyDescent="0.55000000000000004">
      <c r="A296" s="6">
        <v>43115.474305555559</v>
      </c>
      <c r="B296" s="1">
        <v>402</v>
      </c>
      <c r="C296" s="1">
        <v>1.8</v>
      </c>
      <c r="D296" s="1">
        <v>4.62</v>
      </c>
      <c r="E296" s="1">
        <v>1.848E-2</v>
      </c>
      <c r="F296" s="1">
        <v>15.4</v>
      </c>
      <c r="G296" s="1">
        <v>8.6999999999999993</v>
      </c>
    </row>
    <row r="297" spans="1:7" x14ac:dyDescent="0.55000000000000004">
      <c r="A297" s="6">
        <v>43115.48541666667</v>
      </c>
      <c r="B297" s="1">
        <v>404.6</v>
      </c>
      <c r="C297" s="1">
        <v>1</v>
      </c>
      <c r="D297" s="1">
        <v>4.62</v>
      </c>
      <c r="E297" s="1">
        <v>9.2399999999999999E-3</v>
      </c>
      <c r="F297" s="1">
        <v>15.7</v>
      </c>
      <c r="G297" s="1">
        <v>6.8</v>
      </c>
    </row>
    <row r="298" spans="1:7" x14ac:dyDescent="0.55000000000000004">
      <c r="A298" s="6">
        <v>43115.495138888888</v>
      </c>
      <c r="B298" s="1">
        <v>399</v>
      </c>
      <c r="C298" s="1">
        <v>2</v>
      </c>
      <c r="D298" s="1">
        <v>4.62</v>
      </c>
      <c r="E298" s="1">
        <v>1.848E-2</v>
      </c>
      <c r="F298" s="1">
        <v>15.1</v>
      </c>
      <c r="G298" s="1">
        <v>10.199999999999999</v>
      </c>
    </row>
    <row r="299" spans="1:7" x14ac:dyDescent="0.55000000000000004">
      <c r="A299" s="6">
        <v>43115.505555555559</v>
      </c>
      <c r="B299" s="1">
        <v>401.1</v>
      </c>
      <c r="C299" s="1">
        <v>1.5</v>
      </c>
      <c r="D299" s="1">
        <v>4.6100000000000003</v>
      </c>
      <c r="E299" s="1">
        <v>1.383E-2</v>
      </c>
      <c r="F299" s="1">
        <v>15.3</v>
      </c>
      <c r="G299" s="1">
        <v>9.1</v>
      </c>
    </row>
    <row r="300" spans="1:7" x14ac:dyDescent="0.55000000000000004">
      <c r="A300" s="6">
        <v>43115.515972222223</v>
      </c>
      <c r="B300" s="1">
        <v>393.9</v>
      </c>
      <c r="C300" s="1">
        <v>1.6</v>
      </c>
      <c r="D300" s="1">
        <v>4.5999999999999996</v>
      </c>
      <c r="E300" s="1">
        <v>1.38E-2</v>
      </c>
      <c r="F300" s="1">
        <v>13.4</v>
      </c>
      <c r="G300" s="1">
        <v>7.3</v>
      </c>
    </row>
    <row r="301" spans="1:7" x14ac:dyDescent="0.55000000000000004">
      <c r="A301" s="6">
        <v>43115.527083333334</v>
      </c>
      <c r="B301" s="1">
        <v>402.3</v>
      </c>
      <c r="C301" s="1">
        <v>1.4</v>
      </c>
      <c r="D301" s="1">
        <v>4.62</v>
      </c>
      <c r="E301" s="1">
        <v>1.3859999999999999E-2</v>
      </c>
      <c r="F301" s="1">
        <v>15.6</v>
      </c>
      <c r="G301" s="1">
        <v>7.9</v>
      </c>
    </row>
    <row r="302" spans="1:7" x14ac:dyDescent="0.55000000000000004">
      <c r="A302" s="6">
        <v>43115.536805555559</v>
      </c>
      <c r="B302" s="1">
        <v>404.6</v>
      </c>
      <c r="C302" s="1">
        <v>1.6</v>
      </c>
      <c r="D302" s="1">
        <v>4.63</v>
      </c>
      <c r="E302" s="1">
        <v>9.2600000000000009E-3</v>
      </c>
      <c r="F302" s="1">
        <v>16.899999999999999</v>
      </c>
      <c r="G302" s="1">
        <v>8.8000000000000007</v>
      </c>
    </row>
    <row r="303" spans="1:7" x14ac:dyDescent="0.55000000000000004">
      <c r="A303" s="6">
        <v>43115.54791666667</v>
      </c>
      <c r="B303" s="1">
        <v>396.7</v>
      </c>
      <c r="C303" s="1">
        <v>1.7</v>
      </c>
      <c r="D303" s="1">
        <v>4.6100000000000003</v>
      </c>
      <c r="E303" s="1">
        <v>1.383E-2</v>
      </c>
      <c r="F303" s="1">
        <v>14.4</v>
      </c>
      <c r="G303" s="1">
        <v>9.1</v>
      </c>
    </row>
    <row r="304" spans="1:7" x14ac:dyDescent="0.55000000000000004">
      <c r="A304" s="6">
        <v>43115.557638888888</v>
      </c>
      <c r="B304" s="1">
        <v>403.7</v>
      </c>
      <c r="C304" s="1">
        <v>2</v>
      </c>
      <c r="D304" s="1">
        <v>4.62</v>
      </c>
      <c r="E304" s="1">
        <v>1.848E-2</v>
      </c>
      <c r="F304" s="1">
        <v>15.1</v>
      </c>
      <c r="G304" s="1">
        <v>11.9</v>
      </c>
    </row>
    <row r="305" spans="1:7" x14ac:dyDescent="0.55000000000000004">
      <c r="A305" s="6">
        <v>43115.569201388891</v>
      </c>
      <c r="B305" s="1">
        <v>393.9</v>
      </c>
      <c r="C305" s="1">
        <v>1.5</v>
      </c>
      <c r="D305" s="1">
        <v>4.5999999999999996</v>
      </c>
      <c r="E305" s="1">
        <v>9.1999999999999998E-3</v>
      </c>
      <c r="F305" s="1">
        <v>14.1</v>
      </c>
      <c r="G305" s="1">
        <v>8.8000000000000007</v>
      </c>
    </row>
    <row r="306" spans="1:7" x14ac:dyDescent="0.55000000000000004">
      <c r="A306" s="6">
        <v>43115.578923611109</v>
      </c>
      <c r="B306" s="1">
        <v>402.4</v>
      </c>
      <c r="C306" s="1">
        <v>1.4</v>
      </c>
      <c r="D306" s="1">
        <v>4.62</v>
      </c>
      <c r="E306" s="1">
        <v>1.3859999999999999E-2</v>
      </c>
      <c r="F306" s="1">
        <v>15.1</v>
      </c>
      <c r="G306" s="1">
        <v>7</v>
      </c>
    </row>
    <row r="307" spans="1:7" x14ac:dyDescent="0.55000000000000004">
      <c r="A307" s="6">
        <v>43115.592118055552</v>
      </c>
      <c r="B307" s="1">
        <v>398.3</v>
      </c>
      <c r="C307" s="1">
        <v>1.7</v>
      </c>
      <c r="D307" s="1">
        <v>4.6100000000000003</v>
      </c>
      <c r="E307" s="1">
        <v>1.383E-2</v>
      </c>
      <c r="F307" s="1">
        <v>15.3</v>
      </c>
      <c r="G307" s="1">
        <v>8.9</v>
      </c>
    </row>
    <row r="308" spans="1:7" x14ac:dyDescent="0.55000000000000004">
      <c r="A308" s="6">
        <v>43115.600451388891</v>
      </c>
      <c r="B308" s="1">
        <v>399.5</v>
      </c>
      <c r="C308" s="1">
        <v>1.4</v>
      </c>
      <c r="D308" s="1">
        <v>4.6100000000000003</v>
      </c>
      <c r="E308" s="1">
        <v>1.383E-2</v>
      </c>
      <c r="F308" s="1">
        <v>15</v>
      </c>
      <c r="G308" s="1">
        <v>6.1</v>
      </c>
    </row>
    <row r="309" spans="1:7" x14ac:dyDescent="0.55000000000000004">
      <c r="A309" s="6">
        <v>43115.610173611109</v>
      </c>
      <c r="B309" s="1">
        <v>403.3</v>
      </c>
      <c r="C309" s="1">
        <v>1.5</v>
      </c>
      <c r="D309" s="1">
        <v>4.62</v>
      </c>
      <c r="E309" s="1">
        <v>1.3859999999999999E-2</v>
      </c>
      <c r="F309" s="1">
        <v>15.9</v>
      </c>
      <c r="G309" s="1">
        <v>10.8</v>
      </c>
    </row>
    <row r="310" spans="1:7" x14ac:dyDescent="0.55000000000000004">
      <c r="A310" s="6">
        <v>43115.62128472222</v>
      </c>
      <c r="B310" s="1">
        <v>395.1</v>
      </c>
      <c r="C310" s="1">
        <v>1.6</v>
      </c>
      <c r="D310" s="1">
        <v>4.6100000000000003</v>
      </c>
      <c r="E310" s="1">
        <v>1.383E-2</v>
      </c>
      <c r="F310" s="1">
        <v>14.2</v>
      </c>
      <c r="G310" s="1">
        <v>7.9</v>
      </c>
    </row>
    <row r="311" spans="1:7" x14ac:dyDescent="0.55000000000000004">
      <c r="A311" s="6">
        <v>43115.631701388891</v>
      </c>
      <c r="B311" s="1">
        <v>407.2</v>
      </c>
      <c r="C311" s="1">
        <v>1.2</v>
      </c>
      <c r="D311" s="1">
        <v>4.62</v>
      </c>
      <c r="E311" s="1">
        <v>9.2399999999999999E-3</v>
      </c>
      <c r="F311" s="1">
        <v>16.3</v>
      </c>
      <c r="G311" s="1">
        <v>7.7</v>
      </c>
    </row>
    <row r="312" spans="1:7" x14ac:dyDescent="0.55000000000000004">
      <c r="A312" s="6">
        <v>43115.641423611109</v>
      </c>
      <c r="B312" s="1">
        <v>395.7</v>
      </c>
      <c r="C312" s="1">
        <v>1.4</v>
      </c>
      <c r="D312" s="1">
        <v>4.62</v>
      </c>
      <c r="E312" s="1">
        <v>1.3859999999999999E-2</v>
      </c>
      <c r="F312" s="1">
        <v>13.8</v>
      </c>
      <c r="G312" s="1">
        <v>9.1</v>
      </c>
    </row>
    <row r="313" spans="1:7" x14ac:dyDescent="0.55000000000000004">
      <c r="A313" s="6">
        <v>43115.651388888888</v>
      </c>
      <c r="B313" s="1">
        <v>401.8</v>
      </c>
      <c r="C313" s="1">
        <v>1.5</v>
      </c>
      <c r="D313" s="1">
        <v>4.6100000000000003</v>
      </c>
      <c r="E313" s="1">
        <v>1.383E-2</v>
      </c>
      <c r="F313" s="1">
        <v>15.3</v>
      </c>
      <c r="G313" s="1">
        <v>9.6</v>
      </c>
    </row>
    <row r="314" spans="1:7" x14ac:dyDescent="0.55000000000000004">
      <c r="A314" s="6">
        <v>43115.661805555559</v>
      </c>
      <c r="B314" s="1">
        <v>398.8</v>
      </c>
      <c r="C314" s="1">
        <v>1.6</v>
      </c>
      <c r="D314" s="1">
        <v>4.6100000000000003</v>
      </c>
      <c r="E314" s="1">
        <v>1.383E-2</v>
      </c>
      <c r="F314" s="1">
        <v>14.7</v>
      </c>
      <c r="G314" s="1">
        <v>7.2</v>
      </c>
    </row>
    <row r="315" spans="1:7" x14ac:dyDescent="0.55000000000000004">
      <c r="A315" s="6">
        <v>43115.672222222223</v>
      </c>
      <c r="B315" s="1">
        <v>399</v>
      </c>
      <c r="C315" s="1">
        <v>1.3</v>
      </c>
      <c r="D315" s="1">
        <v>4.6100000000000003</v>
      </c>
      <c r="E315" s="1">
        <v>1.383E-2</v>
      </c>
      <c r="F315" s="1">
        <v>14.7</v>
      </c>
      <c r="G315" s="1">
        <v>8.4</v>
      </c>
    </row>
    <row r="316" spans="1:7" x14ac:dyDescent="0.55000000000000004">
      <c r="A316" s="6">
        <v>43115.682638888888</v>
      </c>
      <c r="B316" s="1">
        <v>399</v>
      </c>
      <c r="C316" s="1">
        <v>1.4</v>
      </c>
      <c r="D316" s="1">
        <v>4.5999999999999996</v>
      </c>
      <c r="E316" s="1">
        <v>9.1999999999999998E-3</v>
      </c>
      <c r="F316" s="1">
        <v>14.5</v>
      </c>
      <c r="G316" s="1">
        <v>6.2</v>
      </c>
    </row>
    <row r="317" spans="1:7" x14ac:dyDescent="0.55000000000000004">
      <c r="A317" s="6">
        <v>43115.693749999999</v>
      </c>
      <c r="B317" s="1">
        <v>395.9</v>
      </c>
      <c r="C317" s="1">
        <v>1.8</v>
      </c>
      <c r="D317" s="1">
        <v>4.5999999999999996</v>
      </c>
      <c r="E317" s="1">
        <v>9.1999999999999998E-3</v>
      </c>
      <c r="F317" s="1">
        <v>14</v>
      </c>
      <c r="G317" s="1">
        <v>10.7</v>
      </c>
    </row>
    <row r="318" spans="1:7" x14ac:dyDescent="0.55000000000000004">
      <c r="A318" s="6">
        <v>43115.703472222223</v>
      </c>
      <c r="B318" s="1">
        <v>404.3</v>
      </c>
      <c r="C318" s="1">
        <v>1.4</v>
      </c>
      <c r="D318" s="1">
        <v>4.62</v>
      </c>
      <c r="E318" s="1">
        <v>1.3859999999999999E-2</v>
      </c>
      <c r="F318" s="1">
        <v>15.8</v>
      </c>
      <c r="G318" s="1">
        <v>9.1</v>
      </c>
    </row>
    <row r="319" spans="1:7" x14ac:dyDescent="0.55000000000000004">
      <c r="A319" s="6">
        <v>43115.714583333334</v>
      </c>
      <c r="B319" s="1">
        <v>397.1</v>
      </c>
      <c r="C319" s="1">
        <v>1.8</v>
      </c>
      <c r="D319" s="1">
        <v>4.62</v>
      </c>
      <c r="E319" s="1">
        <v>1.3859999999999999E-2</v>
      </c>
      <c r="F319" s="1">
        <v>14.7</v>
      </c>
      <c r="G319" s="1">
        <v>10</v>
      </c>
    </row>
    <row r="320" spans="1:7" x14ac:dyDescent="0.55000000000000004">
      <c r="A320" s="6">
        <v>43115.725694444445</v>
      </c>
      <c r="B320" s="1">
        <v>402.7</v>
      </c>
      <c r="C320" s="1">
        <v>1.2</v>
      </c>
      <c r="D320" s="1">
        <v>4.62</v>
      </c>
      <c r="E320" s="1">
        <v>1.3859999999999999E-2</v>
      </c>
      <c r="F320" s="1">
        <v>15.6</v>
      </c>
      <c r="G320" s="1">
        <v>3.5</v>
      </c>
    </row>
    <row r="321" spans="1:7" x14ac:dyDescent="0.55000000000000004">
      <c r="A321" s="6">
        <v>43115.742361111108</v>
      </c>
      <c r="B321" s="1">
        <v>399.6</v>
      </c>
      <c r="C321" s="1">
        <v>1.9</v>
      </c>
      <c r="D321" s="1">
        <v>4.6100000000000003</v>
      </c>
      <c r="E321" s="1">
        <v>1.383E-2</v>
      </c>
      <c r="F321" s="1">
        <v>14.7</v>
      </c>
      <c r="G321" s="1">
        <v>10.199999999999999</v>
      </c>
    </row>
    <row r="322" spans="1:7" x14ac:dyDescent="0.55000000000000004">
      <c r="A322" s="6">
        <v>43115.753472222219</v>
      </c>
      <c r="B322" s="14">
        <v>402.7</v>
      </c>
      <c r="C322" s="1">
        <v>1</v>
      </c>
      <c r="D322" s="1">
        <v>4.6100000000000003</v>
      </c>
      <c r="E322" s="1">
        <v>9.2200000000000008E-3</v>
      </c>
      <c r="F322" s="1">
        <v>15.4</v>
      </c>
      <c r="G322" s="1">
        <v>5.7</v>
      </c>
    </row>
    <row r="323" spans="1:7" x14ac:dyDescent="0.55000000000000004">
      <c r="A323" s="6">
        <v>43115.763194444444</v>
      </c>
      <c r="B323" s="1">
        <v>396.9</v>
      </c>
      <c r="C323" s="1">
        <v>1</v>
      </c>
      <c r="D323" s="1">
        <v>4.6100000000000003</v>
      </c>
      <c r="E323" s="1">
        <v>1.383E-2</v>
      </c>
      <c r="F323" s="1">
        <v>13.3</v>
      </c>
      <c r="G323" s="1">
        <v>5</v>
      </c>
    </row>
    <row r="324" spans="1:7" x14ac:dyDescent="0.55000000000000004">
      <c r="A324" s="6">
        <v>43115.773611111108</v>
      </c>
      <c r="B324" s="1">
        <v>402.1</v>
      </c>
      <c r="C324" s="1">
        <v>1.6</v>
      </c>
      <c r="D324" s="1">
        <v>4.62</v>
      </c>
      <c r="E324" s="1">
        <v>1.848E-2</v>
      </c>
      <c r="F324" s="1">
        <v>13.9</v>
      </c>
      <c r="G324" s="1">
        <v>7.5</v>
      </c>
    </row>
    <row r="325" spans="1:7" x14ac:dyDescent="0.55000000000000004">
      <c r="A325" s="6">
        <v>43115.78402777778</v>
      </c>
      <c r="B325" s="1">
        <v>403.5</v>
      </c>
      <c r="C325" s="1">
        <v>1.3</v>
      </c>
      <c r="D325" s="1">
        <v>4.62</v>
      </c>
      <c r="E325" s="1">
        <v>1.3859999999999999E-2</v>
      </c>
      <c r="F325" s="1">
        <v>14.2</v>
      </c>
      <c r="G325" s="1">
        <v>9.1999999999999993</v>
      </c>
    </row>
    <row r="326" spans="1:7" x14ac:dyDescent="0.55000000000000004">
      <c r="A326" s="6">
        <v>43115.794444444444</v>
      </c>
      <c r="B326" s="1">
        <v>394.3</v>
      </c>
      <c r="C326" s="1">
        <v>1.6</v>
      </c>
      <c r="D326" s="1">
        <v>4.62</v>
      </c>
      <c r="E326" s="1">
        <v>1.3859999999999999E-2</v>
      </c>
      <c r="F326" s="1">
        <v>13</v>
      </c>
      <c r="G326" s="1">
        <v>8.8000000000000007</v>
      </c>
    </row>
    <row r="327" spans="1:7" x14ac:dyDescent="0.55000000000000004">
      <c r="A327" s="6">
        <v>43115.804861111108</v>
      </c>
      <c r="B327" s="1">
        <v>404.4</v>
      </c>
      <c r="C327" s="1">
        <v>1.3</v>
      </c>
      <c r="D327" s="1">
        <v>4.62</v>
      </c>
      <c r="E327" s="1">
        <v>1.3859999999999999E-2</v>
      </c>
      <c r="F327" s="1">
        <v>14.6</v>
      </c>
      <c r="G327" s="1">
        <v>6.7</v>
      </c>
    </row>
    <row r="328" spans="1:7" x14ac:dyDescent="0.55000000000000004">
      <c r="A328" s="6">
        <v>43115.81527777778</v>
      </c>
      <c r="B328" s="1">
        <v>400.1</v>
      </c>
      <c r="C328" s="1">
        <v>1.3</v>
      </c>
      <c r="D328" s="1">
        <v>4.62</v>
      </c>
      <c r="E328" s="1">
        <v>1.3859999999999999E-2</v>
      </c>
      <c r="F328" s="1">
        <v>14.1</v>
      </c>
      <c r="G328" s="1">
        <v>8.4</v>
      </c>
    </row>
    <row r="329" spans="1:7" x14ac:dyDescent="0.55000000000000004">
      <c r="A329" s="6">
        <v>43115.82708333333</v>
      </c>
      <c r="B329" s="1">
        <v>396.7</v>
      </c>
      <c r="C329" s="1">
        <v>1.4</v>
      </c>
      <c r="D329" s="1">
        <v>4.6100000000000003</v>
      </c>
      <c r="E329" s="1">
        <v>1.383E-2</v>
      </c>
      <c r="F329" s="1">
        <v>13.6</v>
      </c>
      <c r="G329" s="1">
        <v>7.8</v>
      </c>
    </row>
    <row r="330" spans="1:7" x14ac:dyDescent="0.55000000000000004">
      <c r="A330" s="6">
        <v>43115.836111111108</v>
      </c>
      <c r="B330" s="1">
        <v>402.5</v>
      </c>
      <c r="C330" s="1">
        <v>1.4</v>
      </c>
      <c r="D330" s="1">
        <v>4.62</v>
      </c>
      <c r="E330" s="1">
        <v>1.3859999999999999E-2</v>
      </c>
      <c r="F330" s="1">
        <v>14.3</v>
      </c>
      <c r="G330" s="1">
        <v>9.5</v>
      </c>
    </row>
    <row r="331" spans="1:7" x14ac:dyDescent="0.55000000000000004">
      <c r="A331" s="6">
        <v>43115.847222222219</v>
      </c>
      <c r="B331" s="1">
        <v>395.6</v>
      </c>
      <c r="C331" s="1">
        <v>1.1000000000000001</v>
      </c>
      <c r="D331" s="1">
        <v>4.6100000000000003</v>
      </c>
      <c r="E331" s="1">
        <v>9.2200000000000008E-3</v>
      </c>
      <c r="F331" s="1">
        <v>12.7</v>
      </c>
      <c r="G331" s="1">
        <v>7.5</v>
      </c>
    </row>
    <row r="332" spans="1:7" x14ac:dyDescent="0.55000000000000004">
      <c r="A332" s="6">
        <v>43115.856944444444</v>
      </c>
      <c r="B332" s="1">
        <v>403.9</v>
      </c>
      <c r="C332" s="1">
        <v>1.1000000000000001</v>
      </c>
      <c r="D332" s="1">
        <v>4.6100000000000003</v>
      </c>
      <c r="E332" s="1">
        <v>1.383E-2</v>
      </c>
      <c r="F332" s="1">
        <v>14.2</v>
      </c>
      <c r="G332" s="1">
        <v>8.1999999999999993</v>
      </c>
    </row>
    <row r="333" spans="1:7" x14ac:dyDescent="0.55000000000000004">
      <c r="A333" s="6">
        <v>43115.867361111108</v>
      </c>
      <c r="B333" s="1">
        <v>399.3</v>
      </c>
      <c r="C333" s="1">
        <v>1.7</v>
      </c>
      <c r="D333" s="1">
        <v>4.62</v>
      </c>
      <c r="E333" s="1">
        <v>1.3859999999999999E-2</v>
      </c>
      <c r="F333" s="1">
        <v>13.8</v>
      </c>
      <c r="G333" s="1">
        <v>10.5</v>
      </c>
    </row>
    <row r="334" spans="1:7" x14ac:dyDescent="0.55000000000000004">
      <c r="A334" s="6">
        <v>43115.87777777778</v>
      </c>
      <c r="B334" s="1">
        <v>398.6</v>
      </c>
      <c r="C334" s="1">
        <v>0.9</v>
      </c>
      <c r="D334" s="1">
        <v>4.62</v>
      </c>
      <c r="E334" s="1">
        <v>1.3859999999999999E-2</v>
      </c>
      <c r="F334" s="1">
        <v>13.4</v>
      </c>
      <c r="G334" s="1">
        <v>5.4</v>
      </c>
    </row>
    <row r="335" spans="1:7" x14ac:dyDescent="0.55000000000000004">
      <c r="A335" s="6">
        <v>43115.888194444444</v>
      </c>
      <c r="B335" s="1">
        <v>397.9</v>
      </c>
      <c r="C335" s="1">
        <v>1.5</v>
      </c>
      <c r="D335" s="1">
        <v>4.62</v>
      </c>
      <c r="E335" s="1">
        <v>1.848E-2</v>
      </c>
      <c r="F335" s="1">
        <v>13.9</v>
      </c>
      <c r="G335" s="1">
        <v>10.3</v>
      </c>
    </row>
    <row r="336" spans="1:7" x14ac:dyDescent="0.55000000000000004">
      <c r="A336" s="6">
        <v>43115.898611111108</v>
      </c>
      <c r="B336" s="1">
        <v>398.8</v>
      </c>
      <c r="C336" s="1">
        <v>1.7</v>
      </c>
      <c r="D336" s="1">
        <v>4.62</v>
      </c>
      <c r="E336" s="1">
        <v>9.2399999999999999E-3</v>
      </c>
      <c r="F336" s="1">
        <v>13.6</v>
      </c>
      <c r="G336" s="1">
        <v>9.1999999999999993</v>
      </c>
    </row>
    <row r="337" spans="1:7" x14ac:dyDescent="0.55000000000000004">
      <c r="A337" s="6">
        <v>43115.90902777778</v>
      </c>
      <c r="B337" s="1">
        <v>400.7</v>
      </c>
      <c r="C337" s="1">
        <v>1.5</v>
      </c>
      <c r="D337" s="1">
        <v>4.62</v>
      </c>
      <c r="E337" s="1">
        <v>1.3859999999999999E-2</v>
      </c>
      <c r="F337" s="1">
        <v>14.2</v>
      </c>
      <c r="G337" s="1">
        <v>7.1</v>
      </c>
    </row>
    <row r="338" spans="1:7" x14ac:dyDescent="0.55000000000000004">
      <c r="A338" s="6">
        <v>43115.918749999997</v>
      </c>
      <c r="B338" s="1">
        <v>397.2</v>
      </c>
      <c r="C338" s="1">
        <v>1.3</v>
      </c>
      <c r="D338" s="1">
        <v>4.62</v>
      </c>
      <c r="E338" s="1">
        <v>1.3859999999999999E-2</v>
      </c>
      <c r="F338" s="1">
        <v>13.7</v>
      </c>
      <c r="G338" s="1">
        <v>4.5999999999999996</v>
      </c>
    </row>
    <row r="339" spans="1:7" x14ac:dyDescent="0.55000000000000004">
      <c r="A339" s="6">
        <v>43115.929861111108</v>
      </c>
      <c r="B339" s="1">
        <v>398</v>
      </c>
      <c r="C339" s="1">
        <v>1.5</v>
      </c>
      <c r="D339" s="1">
        <v>4.62</v>
      </c>
      <c r="E339" s="1">
        <v>1.3859999999999999E-2</v>
      </c>
      <c r="F339" s="1">
        <v>14.2</v>
      </c>
      <c r="G339" s="1">
        <v>7</v>
      </c>
    </row>
    <row r="340" spans="1:7" x14ac:dyDescent="0.55000000000000004">
      <c r="A340" s="6">
        <v>43115.939583333333</v>
      </c>
      <c r="B340" s="1">
        <v>404.1</v>
      </c>
      <c r="C340" s="1">
        <v>1.6</v>
      </c>
      <c r="D340" s="1">
        <v>4.62</v>
      </c>
      <c r="E340" s="1">
        <v>1.3859999999999999E-2</v>
      </c>
      <c r="F340" s="1">
        <v>15.1</v>
      </c>
      <c r="G340" s="1">
        <v>8.4</v>
      </c>
    </row>
    <row r="341" spans="1:7" x14ac:dyDescent="0.55000000000000004">
      <c r="A341" s="6">
        <v>43115.951388888891</v>
      </c>
      <c r="B341" s="1">
        <v>400.5</v>
      </c>
      <c r="C341" s="1">
        <v>1.2</v>
      </c>
      <c r="D341" s="1">
        <v>4.62</v>
      </c>
      <c r="E341" s="1">
        <v>9.2399999999999999E-3</v>
      </c>
      <c r="F341" s="1">
        <v>14.3</v>
      </c>
      <c r="G341" s="1">
        <v>7.1</v>
      </c>
    </row>
    <row r="342" spans="1:7" x14ac:dyDescent="0.55000000000000004">
      <c r="A342" s="6">
        <v>43115.961111111108</v>
      </c>
      <c r="B342" s="1">
        <v>400.6</v>
      </c>
      <c r="C342" s="1">
        <v>1.1000000000000001</v>
      </c>
      <c r="D342" s="1">
        <v>4.6100000000000003</v>
      </c>
      <c r="E342" s="1">
        <v>9.2200000000000008E-3</v>
      </c>
      <c r="F342" s="1">
        <v>14</v>
      </c>
      <c r="G342" s="1">
        <v>8.5</v>
      </c>
    </row>
    <row r="343" spans="1:7" x14ac:dyDescent="0.55000000000000004">
      <c r="A343" s="6">
        <v>43115.97152777778</v>
      </c>
      <c r="B343" s="1">
        <v>397.6</v>
      </c>
      <c r="C343" s="1">
        <v>1.7</v>
      </c>
      <c r="D343" s="1">
        <v>4.62</v>
      </c>
      <c r="E343" s="1">
        <v>1.3859999999999999E-2</v>
      </c>
      <c r="F343" s="1">
        <v>13.9</v>
      </c>
      <c r="G343" s="1">
        <v>8.8000000000000007</v>
      </c>
    </row>
    <row r="344" spans="1:7" x14ac:dyDescent="0.55000000000000004">
      <c r="A344" s="6">
        <v>43115.981944444444</v>
      </c>
      <c r="B344" s="1">
        <v>398.1</v>
      </c>
      <c r="C344" s="1">
        <v>1</v>
      </c>
      <c r="D344" s="1">
        <v>4.6100000000000003</v>
      </c>
      <c r="E344" s="1">
        <v>9.2200000000000008E-3</v>
      </c>
      <c r="F344" s="1">
        <v>14.2</v>
      </c>
      <c r="G344" s="1">
        <v>7.4</v>
      </c>
    </row>
    <row r="345" spans="1:7" x14ac:dyDescent="0.55000000000000004">
      <c r="A345" s="6">
        <v>43115.993055555555</v>
      </c>
      <c r="B345" s="1">
        <v>401.9</v>
      </c>
      <c r="C345" s="1">
        <v>1.5</v>
      </c>
      <c r="D345" s="1">
        <v>4.62</v>
      </c>
      <c r="E345" s="1">
        <v>1.3859999999999999E-2</v>
      </c>
      <c r="F345" s="1">
        <v>14.4</v>
      </c>
      <c r="G345" s="1">
        <v>9.8000000000000007</v>
      </c>
    </row>
    <row r="346" spans="1:7" x14ac:dyDescent="0.55000000000000004">
      <c r="A346" s="6">
        <v>43116.003472222219</v>
      </c>
      <c r="B346" s="1">
        <v>406.2</v>
      </c>
      <c r="C346" s="1">
        <v>1.3</v>
      </c>
      <c r="D346" s="1">
        <v>4.62</v>
      </c>
      <c r="E346" s="1">
        <v>1.3859999999999999E-2</v>
      </c>
      <c r="F346" s="1">
        <v>15.1</v>
      </c>
      <c r="G346" s="1">
        <v>8.6</v>
      </c>
    </row>
    <row r="347" spans="1:7" x14ac:dyDescent="0.55000000000000004">
      <c r="A347" s="6">
        <v>43116.013888888891</v>
      </c>
      <c r="B347" s="1">
        <v>399.2</v>
      </c>
      <c r="C347" s="1">
        <v>1.7</v>
      </c>
      <c r="D347" s="1">
        <v>4.62</v>
      </c>
      <c r="E347" s="1">
        <v>1.3859999999999999E-2</v>
      </c>
      <c r="F347" s="1">
        <v>13.4</v>
      </c>
      <c r="G347" s="1">
        <v>7.9</v>
      </c>
    </row>
    <row r="348" spans="1:7" x14ac:dyDescent="0.55000000000000004">
      <c r="A348" s="6">
        <v>43116.029166666667</v>
      </c>
      <c r="B348" s="1">
        <v>394.1</v>
      </c>
      <c r="C348" s="1">
        <v>1.5</v>
      </c>
      <c r="D348" s="1">
        <v>4.6100000000000003</v>
      </c>
      <c r="E348" s="1">
        <v>4.6100000000000004E-3</v>
      </c>
      <c r="F348" s="1">
        <v>12.5</v>
      </c>
      <c r="G348" s="1">
        <v>10.1</v>
      </c>
    </row>
    <row r="349" spans="1:7" x14ac:dyDescent="0.55000000000000004">
      <c r="A349" s="6">
        <v>43116.038888888892</v>
      </c>
      <c r="B349" s="1">
        <v>400.9</v>
      </c>
      <c r="C349" s="1">
        <v>1.4</v>
      </c>
      <c r="D349" s="1">
        <v>4.62</v>
      </c>
      <c r="E349" s="1">
        <v>1.3859999999999999E-2</v>
      </c>
      <c r="F349" s="1">
        <v>13.9</v>
      </c>
      <c r="G349" s="1">
        <v>6.7</v>
      </c>
    </row>
    <row r="350" spans="1:7" x14ac:dyDescent="0.55000000000000004">
      <c r="A350" s="6">
        <v>43116.049305555556</v>
      </c>
      <c r="B350" s="1">
        <v>402.6</v>
      </c>
      <c r="C350" s="1">
        <v>1.5</v>
      </c>
      <c r="D350" s="1">
        <v>4.62</v>
      </c>
      <c r="E350" s="1">
        <v>1.3859999999999999E-2</v>
      </c>
      <c r="F350" s="1">
        <v>14.4</v>
      </c>
      <c r="G350" s="1">
        <v>7.2</v>
      </c>
    </row>
    <row r="351" spans="1:7" x14ac:dyDescent="0.55000000000000004">
      <c r="A351" s="6">
        <v>43116.05972222222</v>
      </c>
      <c r="B351" s="1">
        <v>400.5</v>
      </c>
      <c r="C351" s="1">
        <v>1.7</v>
      </c>
      <c r="D351" s="1">
        <v>4.62</v>
      </c>
      <c r="E351" s="1">
        <v>1.3859999999999999E-2</v>
      </c>
      <c r="F351" s="1">
        <v>14.2</v>
      </c>
      <c r="G351" s="1">
        <v>9.1999999999999993</v>
      </c>
    </row>
    <row r="352" spans="1:7" x14ac:dyDescent="0.55000000000000004">
      <c r="A352" s="6">
        <v>43116.070833333331</v>
      </c>
      <c r="B352" s="1">
        <v>405.4</v>
      </c>
      <c r="C352" s="1">
        <v>0.7</v>
      </c>
      <c r="D352" s="1">
        <v>4.62</v>
      </c>
      <c r="E352" s="1">
        <v>9.2399999999999999E-3</v>
      </c>
      <c r="F352" s="1">
        <v>15</v>
      </c>
      <c r="G352" s="1">
        <v>4.7</v>
      </c>
    </row>
    <row r="353" spans="1:7" x14ac:dyDescent="0.55000000000000004">
      <c r="A353" s="6">
        <v>43116.081250000003</v>
      </c>
      <c r="B353" s="1">
        <v>400.5</v>
      </c>
      <c r="C353" s="1">
        <v>1.6</v>
      </c>
      <c r="D353" s="1">
        <v>4.6100000000000003</v>
      </c>
      <c r="E353" s="1">
        <v>1.383E-2</v>
      </c>
      <c r="F353" s="1">
        <v>14</v>
      </c>
      <c r="G353" s="1">
        <v>7.6</v>
      </c>
    </row>
    <row r="354" spans="1:7" x14ac:dyDescent="0.55000000000000004">
      <c r="A354" s="6">
        <v>43116.09097222222</v>
      </c>
      <c r="B354" s="1">
        <v>400.4</v>
      </c>
      <c r="C354" s="1">
        <v>1</v>
      </c>
      <c r="D354" s="1">
        <v>4.62</v>
      </c>
      <c r="E354" s="1">
        <v>1.3859999999999999E-2</v>
      </c>
      <c r="F354" s="1">
        <v>13.9</v>
      </c>
      <c r="G354" s="1">
        <v>5.9</v>
      </c>
    </row>
    <row r="355" spans="1:7" x14ac:dyDescent="0.55000000000000004">
      <c r="A355" s="6">
        <v>43116.101388888892</v>
      </c>
      <c r="B355" s="1">
        <v>398.8</v>
      </c>
      <c r="C355" s="1">
        <v>1.4</v>
      </c>
      <c r="D355" s="1">
        <v>4.62</v>
      </c>
      <c r="E355" s="1">
        <v>1.3859999999999999E-2</v>
      </c>
      <c r="F355" s="1">
        <v>13.8</v>
      </c>
      <c r="G355" s="1">
        <v>9.3000000000000007</v>
      </c>
    </row>
    <row r="356" spans="1:7" x14ac:dyDescent="0.55000000000000004">
      <c r="A356" s="6">
        <v>43116.112500000003</v>
      </c>
      <c r="B356" s="1">
        <v>399.4</v>
      </c>
      <c r="C356" s="1">
        <v>1</v>
      </c>
      <c r="D356" s="1">
        <v>4.6100000000000003</v>
      </c>
      <c r="E356" s="1">
        <v>9.2200000000000008E-3</v>
      </c>
      <c r="F356" s="1">
        <v>14.1</v>
      </c>
      <c r="G356" s="1">
        <v>7.1</v>
      </c>
    </row>
    <row r="357" spans="1:7" x14ac:dyDescent="0.55000000000000004">
      <c r="A357" s="6">
        <v>43116.122916666667</v>
      </c>
      <c r="B357" s="1">
        <v>399.7</v>
      </c>
      <c r="C357" s="1">
        <v>1</v>
      </c>
      <c r="D357" s="1">
        <v>4.6100000000000003</v>
      </c>
      <c r="E357" s="1">
        <v>9.2200000000000008E-3</v>
      </c>
      <c r="F357" s="1">
        <v>14</v>
      </c>
      <c r="G357" s="1">
        <v>8</v>
      </c>
    </row>
    <row r="358" spans="1:7" x14ac:dyDescent="0.55000000000000004">
      <c r="A358" s="6">
        <v>43116.132638888892</v>
      </c>
      <c r="B358" s="1">
        <v>401.8</v>
      </c>
      <c r="C358" s="1">
        <v>1.1000000000000001</v>
      </c>
      <c r="D358" s="1">
        <v>4.6100000000000003</v>
      </c>
      <c r="E358" s="1">
        <v>9.2200000000000008E-3</v>
      </c>
      <c r="F358" s="1">
        <v>14.3</v>
      </c>
      <c r="G358" s="1">
        <v>6.1</v>
      </c>
    </row>
    <row r="359" spans="1:7" x14ac:dyDescent="0.55000000000000004">
      <c r="A359" s="6">
        <v>43116.143750000003</v>
      </c>
      <c r="B359" s="1">
        <v>397.1</v>
      </c>
      <c r="C359" s="1">
        <v>2</v>
      </c>
      <c r="D359" s="1">
        <v>4.6100000000000003</v>
      </c>
      <c r="E359" s="1">
        <v>1.383E-2</v>
      </c>
      <c r="F359" s="1">
        <v>13.7</v>
      </c>
      <c r="G359" s="1">
        <v>11.3</v>
      </c>
    </row>
    <row r="360" spans="1:7" x14ac:dyDescent="0.55000000000000004">
      <c r="A360" s="6">
        <v>43116.15347222222</v>
      </c>
      <c r="B360" s="1">
        <v>400.7</v>
      </c>
      <c r="C360" s="1">
        <v>1.7</v>
      </c>
      <c r="D360" s="1">
        <v>4.62</v>
      </c>
      <c r="E360" s="1">
        <v>9.2399999999999999E-3</v>
      </c>
      <c r="F360" s="1">
        <v>14.1</v>
      </c>
      <c r="G360" s="1">
        <v>8.6999999999999993</v>
      </c>
    </row>
    <row r="361" spans="1:7" x14ac:dyDescent="0.55000000000000004">
      <c r="A361" s="6">
        <v>43116.163888888892</v>
      </c>
      <c r="B361" s="1">
        <v>400.9</v>
      </c>
      <c r="C361" s="1">
        <v>1.6</v>
      </c>
      <c r="D361" s="1">
        <v>4.62</v>
      </c>
      <c r="E361" s="1">
        <v>1.3859999999999999E-2</v>
      </c>
      <c r="F361" s="1">
        <v>14.3</v>
      </c>
      <c r="G361" s="1">
        <v>9.1999999999999993</v>
      </c>
    </row>
    <row r="362" spans="1:7" x14ac:dyDescent="0.55000000000000004">
      <c r="A362" s="6">
        <v>43116.174305555556</v>
      </c>
      <c r="B362" s="1">
        <v>399.7</v>
      </c>
      <c r="C362" s="1">
        <v>1.9</v>
      </c>
      <c r="D362" s="1">
        <v>4.6100000000000003</v>
      </c>
      <c r="E362" s="1">
        <v>1.8440000000000002E-2</v>
      </c>
      <c r="F362" s="1">
        <v>14.6</v>
      </c>
      <c r="G362" s="1">
        <v>11.2</v>
      </c>
    </row>
    <row r="363" spans="1:7" x14ac:dyDescent="0.55000000000000004">
      <c r="A363" s="6">
        <v>43116.18472222222</v>
      </c>
      <c r="B363" s="1">
        <v>397.6</v>
      </c>
      <c r="C363" s="1">
        <v>1.6</v>
      </c>
      <c r="D363" s="1">
        <v>4.6100000000000003</v>
      </c>
      <c r="E363" s="1">
        <v>1.383E-2</v>
      </c>
      <c r="F363" s="1">
        <v>13.9</v>
      </c>
      <c r="G363" s="1">
        <v>9.6</v>
      </c>
    </row>
    <row r="364" spans="1:7" x14ac:dyDescent="0.55000000000000004">
      <c r="A364" s="6"/>
    </row>
    <row r="365" spans="1:7" x14ac:dyDescent="0.55000000000000004">
      <c r="A365" s="6">
        <v>43116.195833333331</v>
      </c>
      <c r="B365" s="1">
        <v>402</v>
      </c>
      <c r="C365" s="1">
        <v>1.6</v>
      </c>
      <c r="D365" s="1">
        <v>4.62</v>
      </c>
      <c r="E365" s="1">
        <v>1.3859999999999999E-2</v>
      </c>
      <c r="F365" s="1">
        <v>14.7</v>
      </c>
      <c r="G365" s="1">
        <v>9.5</v>
      </c>
    </row>
    <row r="366" spans="1:7" x14ac:dyDescent="0.55000000000000004">
      <c r="A366" s="6">
        <v>43116.205555555556</v>
      </c>
      <c r="B366" s="1">
        <v>400.9</v>
      </c>
      <c r="C366" s="1">
        <v>1.6</v>
      </c>
      <c r="D366" s="1">
        <v>4.5999999999999996</v>
      </c>
      <c r="E366" s="1">
        <v>1.38E-2</v>
      </c>
      <c r="F366" s="1">
        <v>14</v>
      </c>
      <c r="G366" s="1">
        <v>9</v>
      </c>
    </row>
    <row r="367" spans="1:7" x14ac:dyDescent="0.55000000000000004">
      <c r="A367" s="6">
        <v>43116.216666666667</v>
      </c>
      <c r="B367" s="1">
        <v>396.7</v>
      </c>
      <c r="C367" s="1">
        <v>1.6</v>
      </c>
      <c r="D367" s="1">
        <v>4.5999999999999996</v>
      </c>
      <c r="E367" s="1">
        <v>9.1999999999999998E-3</v>
      </c>
      <c r="F367" s="1">
        <v>13.5</v>
      </c>
      <c r="G367" s="1">
        <v>9.6999999999999993</v>
      </c>
    </row>
    <row r="368" spans="1:7" x14ac:dyDescent="0.55000000000000004">
      <c r="A368" s="6">
        <v>43116.227083333331</v>
      </c>
      <c r="B368" s="1">
        <v>402.2</v>
      </c>
      <c r="C368" s="1">
        <v>0.9</v>
      </c>
      <c r="D368" s="1">
        <v>4.6100000000000003</v>
      </c>
      <c r="E368" s="1">
        <v>9.2200000000000008E-3</v>
      </c>
      <c r="F368" s="1">
        <v>15</v>
      </c>
      <c r="G368" s="1">
        <v>6.3</v>
      </c>
    </row>
    <row r="369" spans="1:7" x14ac:dyDescent="0.55000000000000004">
      <c r="A369" s="6">
        <v>43116.238194444442</v>
      </c>
      <c r="B369" s="1">
        <v>400.2</v>
      </c>
      <c r="C369" s="1">
        <v>1.5</v>
      </c>
      <c r="D369" s="1">
        <v>4.6100000000000003</v>
      </c>
      <c r="E369" s="1">
        <v>1.383E-2</v>
      </c>
      <c r="F369" s="1">
        <v>13.9</v>
      </c>
      <c r="G369" s="1">
        <v>7.8</v>
      </c>
    </row>
    <row r="370" spans="1:7" x14ac:dyDescent="0.55000000000000004">
      <c r="A370" s="6">
        <v>43116.247916666667</v>
      </c>
      <c r="B370" s="1">
        <v>402.8</v>
      </c>
      <c r="C370" s="1">
        <v>1.5</v>
      </c>
      <c r="D370" s="1">
        <v>4.62</v>
      </c>
      <c r="E370" s="1">
        <v>1.3859999999999999E-2</v>
      </c>
      <c r="F370" s="1">
        <v>14.9</v>
      </c>
      <c r="G370" s="1">
        <v>8.9</v>
      </c>
    </row>
    <row r="371" spans="1:7" x14ac:dyDescent="0.55000000000000004">
      <c r="A371" s="6">
        <v>43116.258333333331</v>
      </c>
      <c r="B371" s="1">
        <v>397.3</v>
      </c>
      <c r="C371" s="1">
        <v>1.3</v>
      </c>
      <c r="D371" s="1">
        <v>4.5999999999999996</v>
      </c>
      <c r="E371" s="1">
        <v>9.1999999999999998E-3</v>
      </c>
      <c r="F371" s="1">
        <v>13.7</v>
      </c>
      <c r="G371" s="1">
        <v>10.1</v>
      </c>
    </row>
    <row r="372" spans="1:7" x14ac:dyDescent="0.55000000000000004">
      <c r="A372" s="6">
        <v>43116.269444444442</v>
      </c>
      <c r="B372" s="1">
        <v>399.8</v>
      </c>
      <c r="C372" s="1">
        <v>1.6</v>
      </c>
      <c r="D372" s="1">
        <v>4.6100000000000003</v>
      </c>
      <c r="E372" s="1">
        <v>1.383E-2</v>
      </c>
      <c r="F372" s="1">
        <v>14.8</v>
      </c>
      <c r="G372" s="1">
        <v>8.3000000000000007</v>
      </c>
    </row>
    <row r="373" spans="1:7" x14ac:dyDescent="0.55000000000000004">
      <c r="A373" s="6">
        <v>43116.279166666667</v>
      </c>
      <c r="B373" s="1">
        <v>395.5</v>
      </c>
      <c r="C373" s="1">
        <v>1.6</v>
      </c>
      <c r="D373" s="1">
        <v>4.5999999999999996</v>
      </c>
      <c r="E373" s="1">
        <v>9.1999999999999998E-3</v>
      </c>
      <c r="F373" s="1">
        <v>13.5</v>
      </c>
      <c r="G373" s="1">
        <v>11.2</v>
      </c>
    </row>
    <row r="374" spans="1:7" x14ac:dyDescent="0.55000000000000004">
      <c r="A374" s="6">
        <v>43116.290972222225</v>
      </c>
      <c r="B374" s="1">
        <v>403.7</v>
      </c>
      <c r="C374" s="1">
        <v>1.9</v>
      </c>
      <c r="D374" s="1">
        <v>4.62</v>
      </c>
      <c r="E374" s="1">
        <v>1.848E-2</v>
      </c>
      <c r="F374" s="1">
        <v>15.5</v>
      </c>
      <c r="G374" s="1">
        <v>11.2</v>
      </c>
    </row>
    <row r="375" spans="1:7" x14ac:dyDescent="0.55000000000000004">
      <c r="A375" s="6">
        <v>43116.301388888889</v>
      </c>
      <c r="B375" s="1">
        <v>396.1</v>
      </c>
      <c r="C375" s="1">
        <v>1.8</v>
      </c>
      <c r="D375" s="1">
        <v>4.5999999999999996</v>
      </c>
      <c r="E375" s="1">
        <v>1.38E-2</v>
      </c>
      <c r="F375" s="1">
        <v>13.7</v>
      </c>
      <c r="G375" s="1">
        <v>10.5</v>
      </c>
    </row>
    <row r="376" spans="1:7" x14ac:dyDescent="0.55000000000000004">
      <c r="A376" s="6">
        <v>43116.311805555553</v>
      </c>
      <c r="B376" s="1">
        <v>399.1</v>
      </c>
      <c r="C376" s="1">
        <v>1.7</v>
      </c>
      <c r="D376" s="1">
        <v>4.6100000000000003</v>
      </c>
      <c r="E376" s="1">
        <v>1.383E-2</v>
      </c>
      <c r="F376" s="1">
        <v>14</v>
      </c>
      <c r="G376" s="1">
        <v>11</v>
      </c>
    </row>
    <row r="377" spans="1:7" x14ac:dyDescent="0.55000000000000004">
      <c r="A377" s="6">
        <v>43116.322916666664</v>
      </c>
      <c r="B377" s="1">
        <v>404.8</v>
      </c>
      <c r="C377" s="1">
        <v>1.6</v>
      </c>
      <c r="D377" s="1">
        <v>4.62</v>
      </c>
      <c r="E377" s="1">
        <v>9.2399999999999999E-3</v>
      </c>
      <c r="F377" s="1">
        <v>15.2</v>
      </c>
      <c r="G377" s="1">
        <v>9.6999999999999993</v>
      </c>
    </row>
    <row r="378" spans="1:7" x14ac:dyDescent="0.55000000000000004">
      <c r="A378" s="6">
        <v>43116.332638888889</v>
      </c>
      <c r="B378" s="1">
        <v>398.9</v>
      </c>
      <c r="C378" s="1">
        <v>1.5</v>
      </c>
      <c r="D378" s="1">
        <v>4.59</v>
      </c>
      <c r="E378" s="1">
        <v>1.3769999999999999E-2</v>
      </c>
      <c r="F378" s="1">
        <v>12</v>
      </c>
      <c r="G378" s="1">
        <v>9.1999999999999993</v>
      </c>
    </row>
    <row r="379" spans="1:7" x14ac:dyDescent="0.55000000000000004">
      <c r="A379" s="6">
        <v>43116.343055555553</v>
      </c>
      <c r="B379" s="1">
        <v>406.5</v>
      </c>
      <c r="C379" s="1">
        <v>1</v>
      </c>
      <c r="D379" s="1">
        <v>4.62</v>
      </c>
      <c r="E379" s="1">
        <v>1.3859999999999999E-2</v>
      </c>
      <c r="F379" s="1">
        <v>15.4</v>
      </c>
      <c r="G379" s="1">
        <v>11.9</v>
      </c>
    </row>
    <row r="380" spans="1:7" x14ac:dyDescent="0.55000000000000004">
      <c r="A380" s="6">
        <v>43116.353472222225</v>
      </c>
      <c r="B380" s="1">
        <v>399.7</v>
      </c>
      <c r="C380" s="1">
        <v>1.2</v>
      </c>
      <c r="D380" s="1">
        <v>4.6100000000000003</v>
      </c>
      <c r="E380" s="1">
        <v>1.383E-2</v>
      </c>
      <c r="F380" s="1">
        <v>13.9</v>
      </c>
      <c r="G380" s="1">
        <v>6.2</v>
      </c>
    </row>
    <row r="381" spans="1:7" x14ac:dyDescent="0.55000000000000004">
      <c r="A381" s="6">
        <v>43116.363888888889</v>
      </c>
      <c r="B381" s="1">
        <v>404.5</v>
      </c>
      <c r="C381" s="1">
        <v>1</v>
      </c>
      <c r="D381" s="1">
        <v>4.62</v>
      </c>
      <c r="E381" s="1">
        <v>1.3859999999999999E-2</v>
      </c>
      <c r="F381" s="1">
        <v>14.5</v>
      </c>
      <c r="G381" s="1">
        <v>8.4</v>
      </c>
    </row>
    <row r="382" spans="1:7" x14ac:dyDescent="0.55000000000000004">
      <c r="A382" s="6">
        <v>43116.374305555553</v>
      </c>
      <c r="B382" s="1">
        <v>394.9</v>
      </c>
      <c r="C382" s="1">
        <v>1.6</v>
      </c>
      <c r="D382" s="1">
        <v>4.5999999999999996</v>
      </c>
      <c r="E382" s="1">
        <v>1.84E-2</v>
      </c>
      <c r="F382" s="1">
        <v>13</v>
      </c>
      <c r="G382" s="1">
        <v>9.1</v>
      </c>
    </row>
    <row r="383" spans="1:7" x14ac:dyDescent="0.55000000000000004">
      <c r="A383" s="6">
        <v>43116.38958333333</v>
      </c>
      <c r="B383" s="1">
        <v>402</v>
      </c>
      <c r="C383" s="1">
        <v>1.5</v>
      </c>
      <c r="D383" s="1">
        <v>4.6100000000000003</v>
      </c>
      <c r="E383" s="1">
        <v>9.2200000000000008E-3</v>
      </c>
      <c r="F383" s="1">
        <v>14.2</v>
      </c>
      <c r="G383" s="1">
        <v>10.5</v>
      </c>
    </row>
    <row r="384" spans="1:7" x14ac:dyDescent="0.55000000000000004">
      <c r="A384" s="6">
        <v>43116.398611111108</v>
      </c>
      <c r="B384" s="1">
        <v>396.8</v>
      </c>
      <c r="C384" s="1">
        <v>1.6</v>
      </c>
      <c r="D384" s="1">
        <v>4.5999999999999996</v>
      </c>
      <c r="E384" s="1">
        <v>9.1999999999999998E-3</v>
      </c>
      <c r="F384" s="1">
        <v>12.9</v>
      </c>
      <c r="G384" s="1">
        <v>10.6</v>
      </c>
    </row>
    <row r="385" spans="1:7" x14ac:dyDescent="0.55000000000000004">
      <c r="A385" s="6">
        <v>43116.40902777778</v>
      </c>
      <c r="B385" s="1">
        <v>401.1</v>
      </c>
      <c r="C385" s="1">
        <v>1.5</v>
      </c>
      <c r="D385" s="1">
        <v>4.6100000000000003</v>
      </c>
      <c r="E385" s="1">
        <v>1.383E-2</v>
      </c>
      <c r="F385" s="1">
        <v>13.6</v>
      </c>
      <c r="G385" s="1">
        <v>9.8000000000000007</v>
      </c>
    </row>
    <row r="386" spans="1:7" x14ac:dyDescent="0.55000000000000004">
      <c r="A386" s="6">
        <v>43116.419444444444</v>
      </c>
      <c r="B386" s="1">
        <v>398.2</v>
      </c>
      <c r="C386" s="1">
        <v>2.1</v>
      </c>
      <c r="D386" s="1">
        <v>4.6100000000000003</v>
      </c>
      <c r="E386" s="1">
        <v>1.383E-2</v>
      </c>
      <c r="F386" s="1">
        <v>13.1</v>
      </c>
      <c r="G386" s="1">
        <v>11.9</v>
      </c>
    </row>
    <row r="387" spans="1:7" x14ac:dyDescent="0.55000000000000004">
      <c r="A387" s="6">
        <v>43116.429861111108</v>
      </c>
      <c r="B387" s="1">
        <v>401.2</v>
      </c>
      <c r="C387" s="1">
        <v>1.1000000000000001</v>
      </c>
      <c r="D387" s="1">
        <v>4.6100000000000003</v>
      </c>
      <c r="E387" s="1">
        <v>9.2200000000000008E-3</v>
      </c>
      <c r="F387" s="1">
        <v>14.2</v>
      </c>
      <c r="G387" s="1">
        <v>8.1999999999999993</v>
      </c>
    </row>
    <row r="388" spans="1:7" x14ac:dyDescent="0.55000000000000004">
      <c r="A388" s="6">
        <v>43116.445138888892</v>
      </c>
      <c r="B388" s="1">
        <v>397.7</v>
      </c>
      <c r="C388" s="1">
        <v>1.9</v>
      </c>
      <c r="D388" s="1">
        <v>4.6100000000000003</v>
      </c>
      <c r="E388" s="1">
        <v>9.2200000000000008E-3</v>
      </c>
      <c r="F388" s="1">
        <v>13</v>
      </c>
      <c r="G388" s="1">
        <v>8.1999999999999993</v>
      </c>
    </row>
    <row r="389" spans="1:7" x14ac:dyDescent="0.55000000000000004">
      <c r="A389" s="6">
        <v>43116.455555555556</v>
      </c>
      <c r="B389" s="1">
        <v>400.8</v>
      </c>
      <c r="C389" s="1">
        <v>1.6</v>
      </c>
      <c r="D389" s="1">
        <v>4.62</v>
      </c>
      <c r="E389" s="1">
        <v>9.2399999999999999E-3</v>
      </c>
      <c r="F389" s="1">
        <v>13.4</v>
      </c>
      <c r="G389" s="1">
        <v>11.4</v>
      </c>
    </row>
    <row r="390" spans="1:7" x14ac:dyDescent="0.55000000000000004">
      <c r="A390" s="6"/>
    </row>
    <row r="391" spans="1:7" x14ac:dyDescent="0.55000000000000004">
      <c r="A391" s="6">
        <v>43116.46597222222</v>
      </c>
      <c r="B391" s="1">
        <v>397.9</v>
      </c>
      <c r="C391" s="1">
        <v>2</v>
      </c>
      <c r="D391" s="1">
        <v>4.5999999999999996</v>
      </c>
      <c r="E391" s="1">
        <v>1.38E-2</v>
      </c>
      <c r="F391" s="1">
        <v>12.9</v>
      </c>
      <c r="G391" s="1">
        <v>11.6</v>
      </c>
    </row>
    <row r="392" spans="1:7" x14ac:dyDescent="0.55000000000000004">
      <c r="A392" s="6">
        <v>43116.477083333331</v>
      </c>
      <c r="B392" s="1">
        <v>401.8</v>
      </c>
      <c r="C392" s="1">
        <v>1.5</v>
      </c>
      <c r="D392" s="1">
        <v>4.6100000000000003</v>
      </c>
      <c r="E392" s="1">
        <v>1.383E-2</v>
      </c>
      <c r="F392" s="1">
        <v>14</v>
      </c>
      <c r="G392" s="1">
        <v>10.3</v>
      </c>
    </row>
    <row r="393" spans="1:7" x14ac:dyDescent="0.55000000000000004">
      <c r="A393" s="6">
        <v>43116.486805555556</v>
      </c>
      <c r="B393" s="1">
        <v>402.4</v>
      </c>
      <c r="C393" s="1">
        <v>1.9</v>
      </c>
      <c r="D393" s="1">
        <v>4.62</v>
      </c>
      <c r="E393" s="1">
        <v>1.848E-2</v>
      </c>
      <c r="F393" s="1">
        <v>13.9</v>
      </c>
      <c r="G393" s="1">
        <v>8.1</v>
      </c>
    </row>
    <row r="394" spans="1:7" x14ac:dyDescent="0.55000000000000004">
      <c r="A394" s="6">
        <v>43116.49722222222</v>
      </c>
      <c r="B394" s="1">
        <v>397.7</v>
      </c>
      <c r="C394" s="1">
        <v>1.4</v>
      </c>
      <c r="D394" s="1">
        <v>4.5999999999999996</v>
      </c>
      <c r="E394" s="1">
        <v>9.1999999999999998E-3</v>
      </c>
      <c r="F394" s="1">
        <v>12.9</v>
      </c>
      <c r="G394" s="1">
        <v>8.9</v>
      </c>
    </row>
    <row r="395" spans="1:7" x14ac:dyDescent="0.55000000000000004">
      <c r="A395" s="6">
        <v>43116.506944444445</v>
      </c>
      <c r="B395" s="1">
        <v>397.4</v>
      </c>
      <c r="C395" s="1">
        <v>1.5</v>
      </c>
      <c r="D395" s="1">
        <v>4.6100000000000003</v>
      </c>
      <c r="E395" s="1">
        <v>1.383E-2</v>
      </c>
      <c r="F395" s="1">
        <v>13.3</v>
      </c>
      <c r="G395" s="1">
        <v>9.1999999999999993</v>
      </c>
    </row>
    <row r="396" spans="1:7" x14ac:dyDescent="0.55000000000000004">
      <c r="A396" s="6">
        <v>43116.518055555556</v>
      </c>
      <c r="B396" s="1">
        <v>394.2</v>
      </c>
      <c r="C396" s="1">
        <v>1.4</v>
      </c>
      <c r="D396" s="1">
        <v>4.62</v>
      </c>
      <c r="E396" s="1">
        <v>9.2399999999999999E-3</v>
      </c>
      <c r="F396" s="1">
        <v>14.4</v>
      </c>
      <c r="G396" s="1">
        <v>8.9</v>
      </c>
    </row>
    <row r="397" spans="1:7" x14ac:dyDescent="0.55000000000000004">
      <c r="A397" s="6">
        <v>43116.52847222222</v>
      </c>
      <c r="B397" s="1">
        <v>399.9</v>
      </c>
      <c r="C397" s="1">
        <v>1.5</v>
      </c>
      <c r="D397" s="1">
        <v>4.6100000000000003</v>
      </c>
      <c r="E397" s="1">
        <v>1.383E-2</v>
      </c>
      <c r="F397" s="1">
        <v>13.6</v>
      </c>
      <c r="G397" s="1">
        <v>9.8000000000000007</v>
      </c>
    </row>
    <row r="398" spans="1:7" x14ac:dyDescent="0.55000000000000004">
      <c r="A398" s="6">
        <v>43116.538888888892</v>
      </c>
      <c r="B398" s="1">
        <v>401.4</v>
      </c>
      <c r="C398" s="1">
        <v>1.1000000000000001</v>
      </c>
      <c r="D398" s="1">
        <v>4.6100000000000003</v>
      </c>
      <c r="E398" s="1">
        <v>9.2200000000000008E-3</v>
      </c>
      <c r="F398" s="1">
        <v>13.9</v>
      </c>
      <c r="G398" s="1">
        <v>5.6</v>
      </c>
    </row>
    <row r="399" spans="1:7" x14ac:dyDescent="0.55000000000000004">
      <c r="A399" s="6">
        <v>43116.548611111109</v>
      </c>
      <c r="B399" s="1">
        <v>396</v>
      </c>
      <c r="C399" s="1">
        <v>1.5</v>
      </c>
      <c r="D399" s="1">
        <v>4.5999999999999996</v>
      </c>
      <c r="E399" s="1">
        <v>1.38E-2</v>
      </c>
      <c r="F399" s="1">
        <v>12.8</v>
      </c>
      <c r="G399" s="1">
        <v>8.3000000000000007</v>
      </c>
    </row>
    <row r="400" spans="1:7" x14ac:dyDescent="0.55000000000000004">
      <c r="A400" s="6">
        <v>43116.55972222222</v>
      </c>
      <c r="B400" s="1">
        <v>399.9</v>
      </c>
      <c r="C400" s="1">
        <v>1.9</v>
      </c>
      <c r="D400" s="1">
        <v>4.5999999999999996</v>
      </c>
      <c r="E400" s="1">
        <v>1.38E-2</v>
      </c>
      <c r="F400" s="1">
        <v>13.6</v>
      </c>
      <c r="G400" s="1">
        <v>10.7</v>
      </c>
    </row>
    <row r="401" spans="1:7" x14ac:dyDescent="0.55000000000000004">
      <c r="A401" s="6">
        <v>43116.570138888892</v>
      </c>
      <c r="B401" s="1">
        <v>401.8</v>
      </c>
      <c r="C401" s="1">
        <v>1.3</v>
      </c>
      <c r="D401" s="1">
        <v>4.6100000000000003</v>
      </c>
      <c r="E401" s="1">
        <v>1.383E-2</v>
      </c>
      <c r="F401" s="1">
        <v>13.9</v>
      </c>
      <c r="G401" s="1">
        <v>7.5</v>
      </c>
    </row>
    <row r="402" spans="1:7" x14ac:dyDescent="0.55000000000000004">
      <c r="A402" s="6">
        <v>43116.580555555556</v>
      </c>
      <c r="B402" s="1">
        <v>398.8</v>
      </c>
      <c r="C402" s="1">
        <v>1.7</v>
      </c>
      <c r="D402" s="1">
        <v>4.6100000000000003</v>
      </c>
      <c r="E402" s="1">
        <v>1.383E-2</v>
      </c>
      <c r="F402" s="1">
        <v>13</v>
      </c>
      <c r="G402" s="1">
        <v>9.9</v>
      </c>
    </row>
    <row r="403" spans="1:7" x14ac:dyDescent="0.55000000000000004">
      <c r="A403" s="6">
        <v>43116.59097222222</v>
      </c>
      <c r="B403" s="1">
        <v>396.6</v>
      </c>
      <c r="C403" s="1">
        <v>1.8</v>
      </c>
      <c r="D403" s="1">
        <v>4.5999999999999996</v>
      </c>
      <c r="E403" s="1">
        <v>1.38E-2</v>
      </c>
      <c r="F403" s="1">
        <v>12.9</v>
      </c>
      <c r="G403" s="1">
        <v>11.1</v>
      </c>
    </row>
    <row r="404" spans="1:7" x14ac:dyDescent="0.55000000000000004">
      <c r="A404" s="6">
        <v>43116.601388888892</v>
      </c>
      <c r="B404" s="1">
        <v>402.3</v>
      </c>
      <c r="C404" s="1">
        <v>1.3</v>
      </c>
      <c r="D404" s="1">
        <v>4.62</v>
      </c>
      <c r="E404" s="1">
        <v>1.3859999999999999E-2</v>
      </c>
      <c r="F404" s="1">
        <v>14.1</v>
      </c>
      <c r="G404" s="1">
        <v>8.8000000000000007</v>
      </c>
    </row>
    <row r="405" spans="1:7" x14ac:dyDescent="0.55000000000000004">
      <c r="A405" s="6">
        <v>43116.611805555556</v>
      </c>
      <c r="B405" s="1">
        <v>406.3</v>
      </c>
      <c r="C405" s="1">
        <v>0.9</v>
      </c>
      <c r="D405" s="1">
        <v>4.62</v>
      </c>
      <c r="E405" s="1">
        <v>1.3859999999999999E-2</v>
      </c>
      <c r="F405" s="1">
        <v>14.3</v>
      </c>
      <c r="G405" s="1">
        <v>7.1</v>
      </c>
    </row>
    <row r="406" spans="1:7" x14ac:dyDescent="0.55000000000000004">
      <c r="A406" s="6"/>
    </row>
    <row r="407" spans="1:7" x14ac:dyDescent="0.55000000000000004">
      <c r="A407" s="6">
        <v>43116.62222222222</v>
      </c>
      <c r="B407" s="1">
        <v>398</v>
      </c>
      <c r="C407" s="1">
        <v>1.4</v>
      </c>
      <c r="D407" s="1">
        <v>4.6100000000000003</v>
      </c>
      <c r="E407" s="1">
        <v>1.383E-2</v>
      </c>
      <c r="F407" s="1">
        <v>12.8</v>
      </c>
      <c r="G407" s="1">
        <v>8.6999999999999993</v>
      </c>
    </row>
    <row r="408" spans="1:7" x14ac:dyDescent="0.55000000000000004">
      <c r="A408" s="6">
        <v>43116.632638888892</v>
      </c>
      <c r="B408" s="1">
        <v>398.9</v>
      </c>
      <c r="C408" s="1">
        <v>1.6</v>
      </c>
      <c r="D408" s="1">
        <v>4.6100000000000003</v>
      </c>
      <c r="E408" s="1">
        <v>1.383E-2</v>
      </c>
      <c r="F408" s="1">
        <v>13.1</v>
      </c>
      <c r="G408" s="1">
        <v>8.9</v>
      </c>
    </row>
    <row r="409" spans="1:7" x14ac:dyDescent="0.55000000000000004">
      <c r="A409" s="6">
        <v>43116.643055555556</v>
      </c>
      <c r="B409" s="1">
        <v>403.1</v>
      </c>
      <c r="C409" s="1">
        <v>0.8</v>
      </c>
      <c r="D409" s="1">
        <v>4.62</v>
      </c>
      <c r="E409" s="1">
        <v>9.2399999999999999E-3</v>
      </c>
      <c r="F409" s="1">
        <v>13.2</v>
      </c>
      <c r="G409" s="1">
        <v>4.0999999999999996</v>
      </c>
    </row>
    <row r="410" spans="1:7" x14ac:dyDescent="0.55000000000000004">
      <c r="A410" s="6">
        <v>43116.654166666667</v>
      </c>
      <c r="B410" s="1">
        <v>396.4</v>
      </c>
      <c r="C410" s="1">
        <v>1.7</v>
      </c>
      <c r="D410" s="1">
        <v>4.5999999999999996</v>
      </c>
      <c r="E410" s="1">
        <v>1.38E-2</v>
      </c>
      <c r="F410" s="1">
        <v>12.3</v>
      </c>
      <c r="G410" s="1">
        <v>9.9</v>
      </c>
    </row>
    <row r="411" spans="1:7" x14ac:dyDescent="0.55000000000000004">
      <c r="A411" s="6">
        <v>43116.665277777778</v>
      </c>
      <c r="B411" s="1">
        <v>399.9</v>
      </c>
      <c r="C411" s="1">
        <v>1.7</v>
      </c>
      <c r="D411" s="1">
        <v>4.6100000000000003</v>
      </c>
      <c r="E411" s="1">
        <v>1.383E-2</v>
      </c>
      <c r="F411" s="1">
        <v>12.6</v>
      </c>
      <c r="G411" s="1">
        <v>10.199999999999999</v>
      </c>
    </row>
    <row r="412" spans="1:7" x14ac:dyDescent="0.55000000000000004">
      <c r="A412" s="6">
        <v>43116.675000000003</v>
      </c>
      <c r="B412" s="1">
        <v>396.9</v>
      </c>
      <c r="C412" s="1">
        <v>1.8</v>
      </c>
      <c r="D412" s="1">
        <v>4.6100000000000003</v>
      </c>
      <c r="E412" s="1">
        <v>9.2200000000000008E-3</v>
      </c>
      <c r="F412" s="1">
        <v>12.8</v>
      </c>
      <c r="G412" s="1">
        <v>10.1</v>
      </c>
    </row>
    <row r="413" spans="1:7" x14ac:dyDescent="0.55000000000000004">
      <c r="A413" s="6">
        <v>43116.685416666667</v>
      </c>
      <c r="B413" s="1">
        <v>402.4</v>
      </c>
      <c r="C413" s="1">
        <v>1.3</v>
      </c>
      <c r="D413" s="1">
        <v>4.6100000000000003</v>
      </c>
      <c r="E413" s="1">
        <v>1.383E-2</v>
      </c>
      <c r="F413" s="1">
        <v>13.2</v>
      </c>
      <c r="G413" s="1">
        <v>8.8000000000000007</v>
      </c>
    </row>
    <row r="414" spans="1:7" x14ac:dyDescent="0.55000000000000004">
      <c r="A414" s="6">
        <v>43116.696527777778</v>
      </c>
      <c r="B414" s="1">
        <v>397.3</v>
      </c>
      <c r="C414" s="1">
        <v>1.5</v>
      </c>
      <c r="D414" s="1">
        <v>4.6100000000000003</v>
      </c>
      <c r="E414" s="1">
        <v>9.2200000000000008E-3</v>
      </c>
      <c r="F414" s="1">
        <v>12.5</v>
      </c>
      <c r="G414" s="1">
        <v>7.1</v>
      </c>
    </row>
    <row r="415" spans="1:7" x14ac:dyDescent="0.55000000000000004">
      <c r="A415" s="6">
        <v>43116.706250000003</v>
      </c>
      <c r="B415" s="1">
        <v>400.2</v>
      </c>
      <c r="C415" s="1">
        <v>1.4</v>
      </c>
      <c r="D415" s="1">
        <v>4.6100000000000003</v>
      </c>
      <c r="E415" s="1">
        <v>1.383E-2</v>
      </c>
      <c r="F415" s="1">
        <v>12.9</v>
      </c>
      <c r="G415" s="1">
        <v>9.1999999999999993</v>
      </c>
    </row>
    <row r="416" spans="1:7" x14ac:dyDescent="0.55000000000000004">
      <c r="A416" s="6">
        <v>43116.716666666667</v>
      </c>
      <c r="B416" s="1">
        <v>401.1</v>
      </c>
      <c r="C416" s="1">
        <v>1.1000000000000001</v>
      </c>
      <c r="D416" s="1">
        <v>4.6100000000000003</v>
      </c>
      <c r="E416" s="1">
        <v>9.2200000000000008E-3</v>
      </c>
      <c r="F416" s="1">
        <v>13.6</v>
      </c>
      <c r="G416" s="1">
        <v>8</v>
      </c>
    </row>
    <row r="417" spans="1:7" x14ac:dyDescent="0.55000000000000004">
      <c r="A417" s="6">
        <v>43116.727083333331</v>
      </c>
      <c r="B417" s="1">
        <v>403.1</v>
      </c>
      <c r="C417" s="1">
        <v>1</v>
      </c>
      <c r="D417" s="1">
        <v>4.62</v>
      </c>
      <c r="E417" s="1">
        <v>9.2399999999999999E-3</v>
      </c>
      <c r="F417" s="1">
        <v>13.4</v>
      </c>
      <c r="G417" s="1">
        <v>6</v>
      </c>
    </row>
    <row r="418" spans="1:7" x14ac:dyDescent="0.55000000000000004">
      <c r="A418" s="6">
        <v>43116.738194444442</v>
      </c>
      <c r="B418" s="1">
        <v>399.2</v>
      </c>
      <c r="C418" s="1">
        <v>1.7</v>
      </c>
      <c r="D418" s="1">
        <v>4.6100000000000003</v>
      </c>
      <c r="E418" s="1">
        <v>1.383E-2</v>
      </c>
      <c r="F418" s="1">
        <v>13</v>
      </c>
      <c r="G418" s="1">
        <v>9.3000000000000007</v>
      </c>
    </row>
    <row r="419" spans="1:7" x14ac:dyDescent="0.55000000000000004">
      <c r="A419" s="6">
        <v>43116.747916666667</v>
      </c>
      <c r="B419" s="1">
        <v>396</v>
      </c>
      <c r="C419" s="1">
        <v>1.6</v>
      </c>
      <c r="D419" s="1">
        <v>4.5999999999999996</v>
      </c>
      <c r="E419" s="1">
        <v>1.38E-2</v>
      </c>
      <c r="F419" s="1">
        <v>12.3</v>
      </c>
      <c r="G419" s="1">
        <v>9.6</v>
      </c>
    </row>
    <row r="420" spans="1:7" x14ac:dyDescent="0.55000000000000004">
      <c r="A420" s="6">
        <v>43116.759027777778</v>
      </c>
      <c r="B420" s="1">
        <v>401.9</v>
      </c>
      <c r="C420" s="1">
        <v>1.4</v>
      </c>
      <c r="D420" s="1">
        <v>4.6100000000000003</v>
      </c>
      <c r="E420" s="1">
        <v>1.8440000000000002E-2</v>
      </c>
      <c r="F420" s="1">
        <v>13.3</v>
      </c>
      <c r="G420" s="1">
        <v>9.5</v>
      </c>
    </row>
    <row r="421" spans="1:7" x14ac:dyDescent="0.55000000000000004">
      <c r="A421" s="6">
        <v>43116.768750000003</v>
      </c>
      <c r="B421" s="1">
        <v>399.5</v>
      </c>
      <c r="C421" s="1">
        <v>1.2</v>
      </c>
      <c r="D421" s="1">
        <v>4.6100000000000003</v>
      </c>
      <c r="E421" s="1">
        <v>1.383E-2</v>
      </c>
      <c r="F421" s="1">
        <v>13.2</v>
      </c>
      <c r="G421" s="1">
        <v>7.1</v>
      </c>
    </row>
    <row r="422" spans="1:7" x14ac:dyDescent="0.55000000000000004">
      <c r="A422" s="6">
        <v>43116.779861111114</v>
      </c>
      <c r="B422" s="1">
        <v>400.9</v>
      </c>
      <c r="C422" s="1">
        <v>1.4</v>
      </c>
      <c r="D422" s="1">
        <v>4.6100000000000003</v>
      </c>
      <c r="E422" s="1">
        <v>1.383E-2</v>
      </c>
      <c r="F422" s="1">
        <v>13.3</v>
      </c>
      <c r="G422" s="1">
        <v>5.2</v>
      </c>
    </row>
    <row r="423" spans="1:7" x14ac:dyDescent="0.55000000000000004">
      <c r="A423" s="6">
        <v>43116.789583333331</v>
      </c>
      <c r="B423" s="1">
        <v>397.4</v>
      </c>
      <c r="C423" s="1">
        <v>1.4</v>
      </c>
      <c r="D423" s="1">
        <v>4.6100000000000003</v>
      </c>
      <c r="E423" s="1">
        <v>9.2200000000000008E-3</v>
      </c>
      <c r="F423" s="1">
        <v>12.8</v>
      </c>
      <c r="G423" s="1">
        <v>10.199999999999999</v>
      </c>
    </row>
    <row r="424" spans="1:7" x14ac:dyDescent="0.55000000000000004">
      <c r="A424" s="6">
        <v>43116.800694444442</v>
      </c>
      <c r="B424" s="1">
        <v>398.1</v>
      </c>
      <c r="C424" s="1">
        <v>1.6</v>
      </c>
      <c r="D424" s="1">
        <v>4.6100000000000003</v>
      </c>
      <c r="E424" s="1">
        <v>1.8440000000000002E-2</v>
      </c>
      <c r="F424" s="1">
        <v>13.5</v>
      </c>
      <c r="G424" s="1">
        <v>10.199999999999999</v>
      </c>
    </row>
    <row r="425" spans="1:7" x14ac:dyDescent="0.55000000000000004">
      <c r="A425" s="6">
        <v>43116.811111111114</v>
      </c>
      <c r="B425" s="1">
        <v>399.7</v>
      </c>
      <c r="C425" s="1">
        <v>1</v>
      </c>
      <c r="D425" s="1">
        <v>4.5999999999999996</v>
      </c>
      <c r="E425" s="1">
        <v>9.1999999999999998E-3</v>
      </c>
      <c r="F425" s="1">
        <v>13.3</v>
      </c>
      <c r="G425" s="1">
        <v>6</v>
      </c>
    </row>
    <row r="426" spans="1:7" x14ac:dyDescent="0.55000000000000004">
      <c r="A426" s="6">
        <v>43116.821527777778</v>
      </c>
      <c r="B426" s="1">
        <v>400.6</v>
      </c>
      <c r="C426" s="1">
        <v>1.1000000000000001</v>
      </c>
      <c r="D426" s="1">
        <v>4.6100000000000003</v>
      </c>
      <c r="E426" s="1">
        <v>1.383E-2</v>
      </c>
      <c r="F426" s="1">
        <v>13.5</v>
      </c>
      <c r="G426" s="1">
        <v>6.5</v>
      </c>
    </row>
    <row r="427" spans="1:7" x14ac:dyDescent="0.55000000000000004">
      <c r="A427" s="6">
        <v>43116.831944444442</v>
      </c>
      <c r="B427" s="1">
        <v>395.5</v>
      </c>
      <c r="C427" s="1">
        <v>1.9</v>
      </c>
      <c r="D427" s="1">
        <v>4.6100000000000003</v>
      </c>
      <c r="E427" s="1">
        <v>1.383E-2</v>
      </c>
      <c r="F427" s="1">
        <v>13</v>
      </c>
      <c r="G427" s="1">
        <v>12.3</v>
      </c>
    </row>
    <row r="428" spans="1:7" x14ac:dyDescent="0.55000000000000004">
      <c r="A428" s="6">
        <v>43116.842361111114</v>
      </c>
      <c r="B428" s="1">
        <v>401</v>
      </c>
      <c r="C428" s="1">
        <v>1.7</v>
      </c>
      <c r="D428" s="1">
        <v>4.6100000000000003</v>
      </c>
      <c r="E428" s="1">
        <v>1.383E-2</v>
      </c>
      <c r="F428" s="1">
        <v>13.8</v>
      </c>
      <c r="G428" s="1">
        <v>10.8</v>
      </c>
    </row>
    <row r="429" spans="1:7" x14ac:dyDescent="0.55000000000000004">
      <c r="A429" s="6">
        <v>43116.852777777778</v>
      </c>
      <c r="B429" s="1">
        <v>404.6</v>
      </c>
      <c r="C429" s="1">
        <v>1.4</v>
      </c>
      <c r="D429" s="1">
        <v>4.62</v>
      </c>
      <c r="E429" s="1">
        <v>1.3859999999999999E-2</v>
      </c>
      <c r="F429" s="1">
        <v>13.9</v>
      </c>
      <c r="G429" s="1">
        <v>9.3000000000000007</v>
      </c>
    </row>
    <row r="430" spans="1:7" x14ac:dyDescent="0.55000000000000004">
      <c r="A430" s="6">
        <v>43116.863888888889</v>
      </c>
      <c r="B430" s="1">
        <v>400.5</v>
      </c>
      <c r="C430" s="1">
        <v>1.8</v>
      </c>
      <c r="D430" s="1">
        <v>4.62</v>
      </c>
      <c r="E430" s="1">
        <v>9.2399999999999999E-3</v>
      </c>
      <c r="F430" s="1">
        <v>13.6</v>
      </c>
      <c r="G430" s="1">
        <v>10.7</v>
      </c>
    </row>
    <row r="431" spans="1:7" x14ac:dyDescent="0.55000000000000004">
      <c r="A431" s="6">
        <v>43116.873611111114</v>
      </c>
      <c r="B431" s="1">
        <v>400.3</v>
      </c>
      <c r="C431" s="1">
        <v>1</v>
      </c>
      <c r="D431" s="1">
        <v>4.62</v>
      </c>
      <c r="E431" s="1">
        <v>9.2399999999999999E-3</v>
      </c>
      <c r="F431" s="1">
        <v>14.3</v>
      </c>
      <c r="G431" s="1">
        <v>7.3</v>
      </c>
    </row>
    <row r="432" spans="1:7" x14ac:dyDescent="0.55000000000000004">
      <c r="A432" s="6">
        <v>43116.884027777778</v>
      </c>
      <c r="B432" s="1">
        <v>398.3</v>
      </c>
      <c r="C432" s="1">
        <v>1.6</v>
      </c>
      <c r="D432" s="1">
        <v>4.6100000000000003</v>
      </c>
      <c r="E432" s="1">
        <v>1.383E-2</v>
      </c>
      <c r="F432" s="1">
        <v>13.8</v>
      </c>
      <c r="G432" s="1">
        <v>11.1</v>
      </c>
    </row>
    <row r="433" spans="1:7" x14ac:dyDescent="0.55000000000000004">
      <c r="A433" s="6">
        <v>43116.893750000003</v>
      </c>
      <c r="B433" s="1">
        <v>400.4</v>
      </c>
      <c r="C433" s="1">
        <v>1.6</v>
      </c>
      <c r="D433" s="1">
        <v>4.6100000000000003</v>
      </c>
      <c r="E433" s="1">
        <v>1.383E-2</v>
      </c>
      <c r="F433" s="1">
        <v>14.3</v>
      </c>
      <c r="G433" s="1">
        <v>9.1999999999999993</v>
      </c>
    </row>
    <row r="434" spans="1:7" x14ac:dyDescent="0.55000000000000004">
      <c r="A434" s="6">
        <v>43116.904166666667</v>
      </c>
      <c r="B434" s="1">
        <v>403.7</v>
      </c>
      <c r="C434" s="1">
        <v>1.7</v>
      </c>
      <c r="D434" s="1">
        <v>4.6100000000000003</v>
      </c>
      <c r="E434" s="1">
        <v>1.8440000000000002E-2</v>
      </c>
      <c r="F434" s="1">
        <v>15</v>
      </c>
      <c r="G434" s="1">
        <v>7.7</v>
      </c>
    </row>
    <row r="435" spans="1:7" x14ac:dyDescent="0.55000000000000004">
      <c r="A435" s="6">
        <v>43116.914583333331</v>
      </c>
      <c r="B435" s="1">
        <v>398</v>
      </c>
      <c r="C435" s="1">
        <v>1.7</v>
      </c>
      <c r="D435" s="1">
        <v>4.59</v>
      </c>
      <c r="E435" s="1">
        <v>9.1800000000000007E-3</v>
      </c>
      <c r="F435" s="1">
        <v>13.1</v>
      </c>
      <c r="G435" s="1">
        <v>10.199999999999999</v>
      </c>
    </row>
    <row r="436" spans="1:7" x14ac:dyDescent="0.55000000000000004">
      <c r="A436" s="6">
        <v>43116.925000000003</v>
      </c>
      <c r="B436" s="1">
        <v>398.7</v>
      </c>
      <c r="C436" s="1">
        <v>1.3</v>
      </c>
      <c r="D436" s="1">
        <v>4.5999999999999996</v>
      </c>
      <c r="E436" s="1">
        <v>1.38E-2</v>
      </c>
      <c r="F436" s="1">
        <v>14.4</v>
      </c>
      <c r="G436" s="1">
        <v>7.1</v>
      </c>
    </row>
    <row r="437" spans="1:7" x14ac:dyDescent="0.55000000000000004">
      <c r="A437" s="6">
        <v>43116.936111111114</v>
      </c>
      <c r="B437" s="1">
        <v>403.2</v>
      </c>
      <c r="C437" s="1">
        <v>1.7</v>
      </c>
      <c r="D437" s="1">
        <v>4.6100000000000003</v>
      </c>
      <c r="E437" s="1">
        <v>1.8440000000000002E-2</v>
      </c>
      <c r="F437" s="1">
        <v>15.1</v>
      </c>
      <c r="G437" s="1">
        <v>8.3000000000000007</v>
      </c>
    </row>
    <row r="438" spans="1:7" x14ac:dyDescent="0.55000000000000004">
      <c r="A438" s="6">
        <v>43116.945833333331</v>
      </c>
      <c r="B438" s="1">
        <v>401.5</v>
      </c>
      <c r="C438" s="1">
        <v>1.7</v>
      </c>
      <c r="D438" s="1">
        <v>4.6100000000000003</v>
      </c>
      <c r="E438" s="1">
        <v>9.2200000000000008E-3</v>
      </c>
      <c r="F438" s="1">
        <v>15</v>
      </c>
      <c r="G438" s="1">
        <v>9.5</v>
      </c>
    </row>
    <row r="439" spans="1:7" x14ac:dyDescent="0.55000000000000004">
      <c r="A439" s="6">
        <v>43116.956944444442</v>
      </c>
      <c r="B439" s="1">
        <v>398.9</v>
      </c>
      <c r="C439" s="1">
        <v>1.3</v>
      </c>
      <c r="D439" s="1">
        <v>4.5999999999999996</v>
      </c>
      <c r="E439" s="1">
        <v>1.38E-2</v>
      </c>
      <c r="F439" s="1">
        <v>14</v>
      </c>
      <c r="G439" s="1">
        <v>7.5</v>
      </c>
    </row>
    <row r="440" spans="1:7" x14ac:dyDescent="0.55000000000000004">
      <c r="A440" s="6">
        <v>43116.966666666667</v>
      </c>
      <c r="B440" s="1">
        <v>395.7</v>
      </c>
      <c r="C440" s="1">
        <v>1.7</v>
      </c>
      <c r="D440" s="1">
        <v>4.5999999999999996</v>
      </c>
      <c r="E440" s="1">
        <v>9.1999999999999998E-3</v>
      </c>
      <c r="F440" s="1">
        <v>13.7</v>
      </c>
      <c r="G440" s="1">
        <v>11.3</v>
      </c>
    </row>
    <row r="441" spans="1:7" x14ac:dyDescent="0.55000000000000004">
      <c r="A441" s="6">
        <v>43116.977777777778</v>
      </c>
      <c r="B441" s="1">
        <v>404.4</v>
      </c>
      <c r="C441" s="1">
        <v>0.8</v>
      </c>
      <c r="D441" s="1">
        <v>4.62</v>
      </c>
      <c r="E441" s="1">
        <v>9.2399999999999999E-3</v>
      </c>
      <c r="F441" s="1">
        <v>15.4</v>
      </c>
      <c r="G441" s="1">
        <v>6.6</v>
      </c>
    </row>
    <row r="442" spans="1:7" x14ac:dyDescent="0.55000000000000004">
      <c r="A442" s="6">
        <v>43116.988194444442</v>
      </c>
      <c r="B442" s="1">
        <v>396.9</v>
      </c>
      <c r="C442" s="1">
        <v>1.5</v>
      </c>
      <c r="D442" s="1">
        <v>4.6100000000000003</v>
      </c>
      <c r="E442" s="1">
        <v>1.383E-2</v>
      </c>
      <c r="F442" s="1">
        <v>13.9</v>
      </c>
      <c r="G442" s="1">
        <v>8.1999999999999993</v>
      </c>
    </row>
    <row r="443" spans="1:7" x14ac:dyDescent="0.55000000000000004">
      <c r="A443" s="6">
        <v>43116.998611111114</v>
      </c>
      <c r="B443" s="1">
        <v>404.6</v>
      </c>
      <c r="C443" s="1">
        <v>0.9</v>
      </c>
      <c r="D443" s="1">
        <v>4.6100000000000003</v>
      </c>
      <c r="E443" s="1">
        <v>1.383E-2</v>
      </c>
      <c r="F443" s="1">
        <v>15.3</v>
      </c>
      <c r="G443" s="1">
        <v>3.8</v>
      </c>
    </row>
    <row r="444" spans="1:7" x14ac:dyDescent="0.55000000000000004">
      <c r="A444" s="6">
        <v>43117.009027777778</v>
      </c>
      <c r="B444" s="1">
        <v>396.1</v>
      </c>
      <c r="C444" s="1">
        <v>1.3</v>
      </c>
      <c r="D444" s="1">
        <v>4.5999999999999996</v>
      </c>
      <c r="E444" s="1">
        <v>1.38E-2</v>
      </c>
      <c r="F444" s="1">
        <v>13.5</v>
      </c>
      <c r="G444" s="1">
        <v>9.4</v>
      </c>
    </row>
    <row r="445" spans="1:7" x14ac:dyDescent="0.55000000000000004">
      <c r="A445" s="6">
        <v>43117.019444444442</v>
      </c>
      <c r="B445" s="1">
        <v>397.4</v>
      </c>
      <c r="C445" s="1">
        <v>1.5</v>
      </c>
      <c r="D445" s="1">
        <v>4.5999999999999996</v>
      </c>
      <c r="E445" s="1">
        <v>9.1999999999999998E-3</v>
      </c>
      <c r="F445" s="1">
        <v>13.9</v>
      </c>
      <c r="G445" s="1">
        <v>9.6999999999999993</v>
      </c>
    </row>
    <row r="446" spans="1:7" x14ac:dyDescent="0.55000000000000004">
      <c r="A446" s="6">
        <v>43117.029861111114</v>
      </c>
      <c r="B446" s="1">
        <v>404.5</v>
      </c>
      <c r="C446" s="1">
        <v>1.1000000000000001</v>
      </c>
      <c r="D446" s="1">
        <v>4.6100000000000003</v>
      </c>
      <c r="E446" s="1">
        <v>1.383E-2</v>
      </c>
      <c r="F446" s="1">
        <v>15.5</v>
      </c>
      <c r="G446" s="1">
        <v>7.2</v>
      </c>
    </row>
    <row r="447" spans="1:7" x14ac:dyDescent="0.55000000000000004">
      <c r="A447" s="6">
        <v>43117.040277777778</v>
      </c>
      <c r="B447" s="1">
        <v>397.6</v>
      </c>
      <c r="C447" s="1">
        <v>2.1</v>
      </c>
      <c r="D447" s="1">
        <v>4.5999999999999996</v>
      </c>
      <c r="E447" s="1">
        <v>1.84E-2</v>
      </c>
      <c r="F447" s="1">
        <v>13.4</v>
      </c>
      <c r="G447" s="1">
        <v>10.199999999999999</v>
      </c>
    </row>
    <row r="448" spans="1:7" x14ac:dyDescent="0.55000000000000004">
      <c r="A448" s="6">
        <v>43117.944444444445</v>
      </c>
      <c r="B448" s="1">
        <v>404.2</v>
      </c>
      <c r="C448" s="1">
        <v>1.3</v>
      </c>
      <c r="D448" s="1">
        <v>4.62</v>
      </c>
      <c r="E448" s="1">
        <v>1.848E-2</v>
      </c>
      <c r="F448" s="1">
        <v>15.1</v>
      </c>
      <c r="G448" s="1">
        <v>7.3</v>
      </c>
    </row>
    <row r="449" spans="1:7" x14ac:dyDescent="0.55000000000000004">
      <c r="A449" s="6">
        <v>43117.061805555553</v>
      </c>
      <c r="B449" s="1">
        <v>393.9</v>
      </c>
      <c r="C449" s="1">
        <v>1.3</v>
      </c>
      <c r="D449" s="1">
        <v>4.5999999999999996</v>
      </c>
      <c r="E449" s="1">
        <v>9.1999999999999998E-3</v>
      </c>
      <c r="F449" s="1">
        <v>13.3</v>
      </c>
      <c r="G449" s="1">
        <v>10.9</v>
      </c>
    </row>
    <row r="450" spans="1:7" x14ac:dyDescent="0.55000000000000004">
      <c r="A450" s="6">
        <v>43117.071527777778</v>
      </c>
      <c r="B450" s="1">
        <v>406.2</v>
      </c>
      <c r="C450" s="1">
        <v>1</v>
      </c>
      <c r="D450" s="1">
        <v>4.6100000000000003</v>
      </c>
      <c r="E450" s="1">
        <v>9.2200000000000008E-3</v>
      </c>
      <c r="F450" s="1">
        <v>14.8</v>
      </c>
      <c r="G450" s="1">
        <v>9.1999999999999993</v>
      </c>
    </row>
    <row r="451" spans="1:7" x14ac:dyDescent="0.55000000000000004">
      <c r="A451" s="6">
        <v>43117.082638888889</v>
      </c>
      <c r="B451" s="1">
        <v>400.8</v>
      </c>
      <c r="C451" s="1">
        <v>0.3</v>
      </c>
      <c r="D451" s="1">
        <v>4.6100000000000003</v>
      </c>
      <c r="E451" s="1">
        <v>1.383E-2</v>
      </c>
      <c r="F451" s="1">
        <v>14.1</v>
      </c>
      <c r="G451" s="1">
        <v>9</v>
      </c>
    </row>
    <row r="452" spans="1:7" x14ac:dyDescent="0.55000000000000004">
      <c r="A452" s="6">
        <v>43117.093055555553</v>
      </c>
      <c r="B452" s="1">
        <v>396.6</v>
      </c>
      <c r="C452" s="1">
        <v>1.2</v>
      </c>
      <c r="D452" s="1">
        <v>4.5999999999999996</v>
      </c>
      <c r="E452" s="1">
        <v>4.5999999999999999E-3</v>
      </c>
      <c r="F452" s="1">
        <v>13.5</v>
      </c>
      <c r="G452" s="1">
        <v>7.6</v>
      </c>
    </row>
    <row r="453" spans="1:7" x14ac:dyDescent="0.55000000000000004">
      <c r="A453" s="6">
        <v>43117.103472222225</v>
      </c>
      <c r="B453" s="1">
        <v>399.3</v>
      </c>
      <c r="C453" s="1">
        <v>1.7</v>
      </c>
      <c r="D453" s="1">
        <v>4.5999999999999996</v>
      </c>
      <c r="E453" s="1">
        <v>1.38E-2</v>
      </c>
      <c r="F453" s="1">
        <v>13.8</v>
      </c>
      <c r="G453" s="1">
        <v>10.3</v>
      </c>
    </row>
    <row r="454" spans="1:7" x14ac:dyDescent="0.55000000000000004">
      <c r="A454" s="6">
        <v>43117.113888888889</v>
      </c>
      <c r="B454" s="1">
        <v>399.4</v>
      </c>
      <c r="C454" s="1">
        <v>1.6</v>
      </c>
      <c r="D454" s="1">
        <v>4.5999999999999996</v>
      </c>
      <c r="E454" s="1">
        <v>9.1999999999999998E-3</v>
      </c>
      <c r="F454" s="1">
        <v>13.9</v>
      </c>
      <c r="G454" s="1">
        <v>9.1</v>
      </c>
    </row>
    <row r="455" spans="1:7" x14ac:dyDescent="0.55000000000000004">
      <c r="A455" s="6">
        <v>43117.124305555553</v>
      </c>
      <c r="B455" s="1">
        <v>403.5</v>
      </c>
      <c r="C455" s="1">
        <v>2</v>
      </c>
      <c r="D455" s="1">
        <v>4.6100000000000003</v>
      </c>
      <c r="E455" s="1">
        <v>1.383E-2</v>
      </c>
      <c r="F455" s="1">
        <v>14.5</v>
      </c>
      <c r="G455" s="1">
        <v>12.7</v>
      </c>
    </row>
    <row r="456" spans="1:7" x14ac:dyDescent="0.55000000000000004">
      <c r="A456" s="6">
        <v>43117.135416666664</v>
      </c>
      <c r="B456" s="1">
        <v>399.5</v>
      </c>
      <c r="C456" s="1">
        <v>1.4</v>
      </c>
      <c r="D456" s="1">
        <v>4.6100000000000003</v>
      </c>
      <c r="E456" s="1">
        <v>9.2200000000000008E-3</v>
      </c>
      <c r="F456" s="1">
        <v>13.5</v>
      </c>
      <c r="G456" s="1">
        <v>6.9</v>
      </c>
    </row>
    <row r="457" spans="1:7" x14ac:dyDescent="0.55000000000000004">
      <c r="A457" s="6">
        <v>43117.145833333336</v>
      </c>
      <c r="B457" s="1">
        <v>400.1</v>
      </c>
      <c r="C457" s="1">
        <v>1.3</v>
      </c>
      <c r="D457" s="1">
        <v>4.6100000000000003</v>
      </c>
      <c r="E457" s="1">
        <v>9.2200000000000008E-3</v>
      </c>
      <c r="F457" s="1">
        <v>13.8</v>
      </c>
      <c r="G457" s="1">
        <v>8.5</v>
      </c>
    </row>
    <row r="458" spans="1:7" x14ac:dyDescent="0.55000000000000004">
      <c r="A458" s="6">
        <v>43117.156250057873</v>
      </c>
      <c r="B458" s="1">
        <v>397.5</v>
      </c>
      <c r="C458" s="1">
        <v>2.1</v>
      </c>
      <c r="D458" s="1">
        <v>4.5999999999999996</v>
      </c>
      <c r="E458" s="1">
        <v>1.84E-2</v>
      </c>
      <c r="F458" s="1">
        <v>13.4</v>
      </c>
      <c r="G458" s="1">
        <v>11.9</v>
      </c>
    </row>
    <row r="459" spans="1:7" x14ac:dyDescent="0.55000000000000004">
      <c r="A459" s="6">
        <v>43117.165972222225</v>
      </c>
      <c r="B459" s="1">
        <v>402.1</v>
      </c>
      <c r="C459" s="1">
        <v>1.7</v>
      </c>
      <c r="D459" s="1">
        <v>4.5999999999999996</v>
      </c>
      <c r="E459" s="1">
        <v>1.38E-2</v>
      </c>
      <c r="F459" s="1">
        <v>15.3</v>
      </c>
      <c r="G459" s="1">
        <v>9.1999999999999993</v>
      </c>
    </row>
    <row r="460" spans="1:7" x14ac:dyDescent="0.55000000000000004">
      <c r="A460" s="6">
        <v>43117.176388888889</v>
      </c>
      <c r="B460" s="1">
        <v>403.5</v>
      </c>
      <c r="C460" s="1">
        <v>1.5</v>
      </c>
      <c r="D460" s="1">
        <v>4.6100000000000003</v>
      </c>
      <c r="E460" s="1">
        <v>1.383E-2</v>
      </c>
      <c r="F460" s="1">
        <v>15.1</v>
      </c>
      <c r="G460" s="1">
        <v>9</v>
      </c>
    </row>
    <row r="461" spans="1:7" x14ac:dyDescent="0.55000000000000004">
      <c r="A461" s="6">
        <v>43117.186805555553</v>
      </c>
      <c r="B461" s="1">
        <v>399.8</v>
      </c>
      <c r="C461" s="1">
        <v>1</v>
      </c>
      <c r="D461" s="1">
        <v>4.6100000000000003</v>
      </c>
      <c r="E461" s="1">
        <v>9.2200000000000008E-3</v>
      </c>
      <c r="F461" s="1">
        <v>14.2</v>
      </c>
      <c r="G461" s="1">
        <v>6.9</v>
      </c>
    </row>
    <row r="462" spans="1:7" x14ac:dyDescent="0.55000000000000004">
      <c r="A462" s="6">
        <v>43117.197222222225</v>
      </c>
      <c r="B462" s="1">
        <v>400.3</v>
      </c>
      <c r="C462" s="1">
        <v>1.7</v>
      </c>
      <c r="D462" s="1">
        <v>4.6100000000000003</v>
      </c>
      <c r="E462" s="1">
        <v>1.383E-2</v>
      </c>
      <c r="F462" s="1">
        <v>14.3</v>
      </c>
      <c r="G462" s="1">
        <v>9.3000000000000007</v>
      </c>
    </row>
    <row r="463" spans="1:7" x14ac:dyDescent="0.55000000000000004">
      <c r="A463" s="6">
        <v>43117.208333333336</v>
      </c>
      <c r="B463" s="1">
        <v>396.2</v>
      </c>
      <c r="C463" s="1">
        <v>1.6</v>
      </c>
      <c r="D463" s="1">
        <v>4.5999999999999996</v>
      </c>
      <c r="E463" s="1">
        <v>1.38E-2</v>
      </c>
      <c r="F463" s="1">
        <v>13.4</v>
      </c>
      <c r="G463" s="1">
        <v>9.6999999999999993</v>
      </c>
    </row>
    <row r="464" spans="1:7" x14ac:dyDescent="0.55000000000000004">
      <c r="A464" s="6">
        <v>43117.21875</v>
      </c>
      <c r="B464" s="1">
        <v>401</v>
      </c>
      <c r="C464" s="1">
        <v>1.6</v>
      </c>
      <c r="D464" s="1">
        <v>4.6100000000000003</v>
      </c>
      <c r="E464" s="1">
        <v>9.2200000000000008E-3</v>
      </c>
      <c r="F464" s="1">
        <v>14.7</v>
      </c>
      <c r="G464" s="1">
        <v>11.1</v>
      </c>
    </row>
    <row r="465" spans="1:7" x14ac:dyDescent="0.55000000000000004">
      <c r="A465" s="6">
        <v>43117.229166666664</v>
      </c>
      <c r="B465" s="1">
        <v>395.8</v>
      </c>
      <c r="C465" s="1">
        <v>1.6</v>
      </c>
      <c r="D465" s="1">
        <v>4.59</v>
      </c>
      <c r="E465" s="1">
        <v>1.3769999999999999E-2</v>
      </c>
      <c r="F465" s="1">
        <v>13.5</v>
      </c>
      <c r="G465" s="1">
        <v>8.1999999999999993</v>
      </c>
    </row>
    <row r="466" spans="1:7" x14ac:dyDescent="0.55000000000000004">
      <c r="A466" s="6">
        <v>43117.239583333336</v>
      </c>
      <c r="B466" s="1">
        <v>397.9</v>
      </c>
      <c r="C466" s="1">
        <v>1.4</v>
      </c>
      <c r="D466" s="1">
        <v>4.5999999999999996</v>
      </c>
      <c r="E466" s="1">
        <v>1.38E-2</v>
      </c>
      <c r="F466" s="1">
        <v>14.6</v>
      </c>
      <c r="G466" s="1">
        <v>7.2</v>
      </c>
    </row>
    <row r="467" spans="1:7" x14ac:dyDescent="0.55000000000000004">
      <c r="A467" s="6">
        <v>43117.25</v>
      </c>
      <c r="B467" s="1">
        <v>398.4</v>
      </c>
      <c r="C467" s="1">
        <v>1.7</v>
      </c>
      <c r="D467" s="1">
        <v>4.5999999999999996</v>
      </c>
      <c r="E467" s="1">
        <v>9.1999999999999998E-3</v>
      </c>
      <c r="F467" s="1">
        <v>14.5</v>
      </c>
      <c r="G467" s="1">
        <v>11.2</v>
      </c>
    </row>
    <row r="468" spans="1:7" x14ac:dyDescent="0.55000000000000004">
      <c r="A468" s="6">
        <v>43117.260416666664</v>
      </c>
      <c r="B468" s="1">
        <v>403.1</v>
      </c>
      <c r="C468" s="1">
        <v>0.9</v>
      </c>
      <c r="D468" s="1">
        <v>4.62</v>
      </c>
      <c r="E468" s="1">
        <v>9.2399999999999999E-3</v>
      </c>
      <c r="F468" s="1">
        <v>17.100000000000001</v>
      </c>
      <c r="G468" s="1">
        <v>3.8</v>
      </c>
    </row>
    <row r="469" spans="1:7" x14ac:dyDescent="0.55000000000000004">
      <c r="A469" s="6">
        <v>43117.270833333336</v>
      </c>
      <c r="B469" s="1">
        <v>396.5</v>
      </c>
      <c r="C469" s="1">
        <v>1.3</v>
      </c>
      <c r="D469" s="1">
        <v>4.5999999999999996</v>
      </c>
      <c r="E469" s="1">
        <v>9.1999999999999998E-3</v>
      </c>
      <c r="F469" s="1">
        <v>14.1</v>
      </c>
      <c r="G469" s="1">
        <v>8.3000000000000007</v>
      </c>
    </row>
    <row r="470" spans="1:7" x14ac:dyDescent="0.55000000000000004">
      <c r="A470" s="6">
        <v>43117.28125</v>
      </c>
      <c r="B470" s="1">
        <v>402.2</v>
      </c>
      <c r="C470" s="1">
        <v>1.2</v>
      </c>
      <c r="D470" s="1">
        <v>4.6100000000000003</v>
      </c>
      <c r="E470" s="1">
        <v>1.383E-2</v>
      </c>
      <c r="F470" s="1">
        <v>14.9</v>
      </c>
      <c r="G470" s="1">
        <v>8.8000000000000007</v>
      </c>
    </row>
    <row r="471" spans="1:7" x14ac:dyDescent="0.55000000000000004">
      <c r="A471" s="6">
        <v>43117.291666666664</v>
      </c>
      <c r="B471" s="1">
        <v>396.3</v>
      </c>
      <c r="C471" s="1">
        <v>1.9</v>
      </c>
      <c r="D471" s="1">
        <v>4.59</v>
      </c>
      <c r="E471" s="1">
        <v>9.1800000000000007E-3</v>
      </c>
      <c r="F471" s="1">
        <v>13.7</v>
      </c>
      <c r="G471" s="1">
        <v>11.4</v>
      </c>
    </row>
    <row r="472" spans="1:7" x14ac:dyDescent="0.55000000000000004">
      <c r="A472" s="6">
        <v>43117.30208321759</v>
      </c>
      <c r="B472" s="1">
        <v>401.5</v>
      </c>
      <c r="C472" s="1">
        <v>0.8</v>
      </c>
      <c r="D472" s="1">
        <v>4.6100000000000003</v>
      </c>
      <c r="E472" s="1">
        <v>9.2200000000000008E-3</v>
      </c>
      <c r="F472" s="1">
        <v>14.7</v>
      </c>
      <c r="G472" s="1">
        <v>4.5999999999999996</v>
      </c>
    </row>
    <row r="473" spans="1:7" x14ac:dyDescent="0.55000000000000004">
      <c r="A473" s="6">
        <v>43117.31249971065</v>
      </c>
      <c r="B473" s="1">
        <v>398.9</v>
      </c>
      <c r="C473" s="1">
        <v>1.2</v>
      </c>
      <c r="D473" s="1">
        <v>4.5999999999999996</v>
      </c>
      <c r="E473" s="1">
        <v>4.5999999999999999E-3</v>
      </c>
      <c r="F473" s="1">
        <v>14.2</v>
      </c>
      <c r="G473" s="1">
        <v>7.4</v>
      </c>
    </row>
    <row r="474" spans="1:7" x14ac:dyDescent="0.55000000000000004">
      <c r="A474" s="6">
        <v>43117.322916666664</v>
      </c>
      <c r="B474" s="1">
        <v>400.1</v>
      </c>
      <c r="C474" s="1">
        <v>1.6</v>
      </c>
      <c r="D474" s="1">
        <v>4.5999999999999996</v>
      </c>
      <c r="E474" s="1">
        <v>1.38E-2</v>
      </c>
      <c r="F474" s="1">
        <v>14.4</v>
      </c>
      <c r="G474" s="1">
        <v>7.7</v>
      </c>
    </row>
    <row r="475" spans="1:7" x14ac:dyDescent="0.55000000000000004">
      <c r="A475" s="6">
        <v>43117.332638888889</v>
      </c>
      <c r="B475" s="1">
        <v>399.2</v>
      </c>
      <c r="C475" s="1">
        <v>1.7</v>
      </c>
      <c r="D475" s="1">
        <v>4.5999999999999996</v>
      </c>
      <c r="E475" s="1">
        <v>1.38E-2</v>
      </c>
      <c r="F475" s="1">
        <v>13.9</v>
      </c>
      <c r="G475" s="1">
        <v>8.8000000000000007</v>
      </c>
    </row>
    <row r="476" spans="1:7" x14ac:dyDescent="0.55000000000000004">
      <c r="A476" s="6">
        <v>43117.34375</v>
      </c>
      <c r="B476" s="1">
        <v>398.1</v>
      </c>
      <c r="C476" s="1">
        <v>1.4</v>
      </c>
      <c r="D476" s="1">
        <v>4.5999999999999996</v>
      </c>
      <c r="E476" s="1">
        <v>1.38E-2</v>
      </c>
      <c r="F476" s="1">
        <v>14</v>
      </c>
      <c r="G476" s="1">
        <v>7.3</v>
      </c>
    </row>
    <row r="477" spans="1:7" x14ac:dyDescent="0.55000000000000004">
      <c r="A477" s="6">
        <v>43117.354166666664</v>
      </c>
      <c r="B477" s="1">
        <v>402.5</v>
      </c>
      <c r="C477" s="1">
        <v>1.7</v>
      </c>
      <c r="D477" s="1">
        <v>4.6100000000000003</v>
      </c>
      <c r="E477" s="1">
        <v>1.383E-2</v>
      </c>
      <c r="F477" s="1">
        <v>14</v>
      </c>
      <c r="G477" s="1">
        <v>7.6</v>
      </c>
    </row>
    <row r="478" spans="1:7" x14ac:dyDescent="0.55000000000000004">
      <c r="A478" s="6">
        <v>43117.364583333336</v>
      </c>
      <c r="B478" s="1">
        <v>396.7</v>
      </c>
      <c r="C478" s="1">
        <v>1.1000000000000001</v>
      </c>
      <c r="D478" s="1">
        <v>4.5999999999999996</v>
      </c>
      <c r="E478" s="1">
        <v>9.1999999999999998E-3</v>
      </c>
      <c r="F478" s="1">
        <v>13.9</v>
      </c>
      <c r="G478" s="1">
        <v>7.5</v>
      </c>
    </row>
    <row r="479" spans="1:7" x14ac:dyDescent="0.55000000000000004">
      <c r="A479" s="6">
        <v>43117.375</v>
      </c>
      <c r="B479" s="1">
        <v>404.9</v>
      </c>
      <c r="C479" s="1">
        <v>1.1000000000000001</v>
      </c>
      <c r="D479" s="1">
        <v>4.6100000000000003</v>
      </c>
      <c r="E479" s="1">
        <v>1.383E-2</v>
      </c>
      <c r="F479" s="1">
        <v>14.8</v>
      </c>
      <c r="G479" s="1">
        <v>8.9</v>
      </c>
    </row>
    <row r="480" spans="1:7" x14ac:dyDescent="0.55000000000000004">
      <c r="A480" s="6">
        <v>43117.385416666664</v>
      </c>
      <c r="B480" s="1">
        <v>395.4</v>
      </c>
      <c r="C480" s="1">
        <v>1.8</v>
      </c>
      <c r="D480" s="1">
        <v>4.59</v>
      </c>
      <c r="E480" s="1">
        <v>1.3769999999999999E-2</v>
      </c>
      <c r="F480" s="1">
        <v>13.2</v>
      </c>
      <c r="G480" s="1">
        <v>11.8</v>
      </c>
    </row>
    <row r="481" spans="1:7" x14ac:dyDescent="0.55000000000000004">
      <c r="A481" s="6">
        <v>43117.395833333336</v>
      </c>
      <c r="B481" s="1">
        <v>400.1</v>
      </c>
      <c r="C481" s="1">
        <v>1.4</v>
      </c>
      <c r="D481" s="1">
        <v>4.5999999999999996</v>
      </c>
      <c r="E481" s="1">
        <v>9.1999999999999998E-3</v>
      </c>
      <c r="F481" s="1">
        <v>14.4</v>
      </c>
      <c r="G481" s="1">
        <v>10.6</v>
      </c>
    </row>
    <row r="482" spans="1:7" x14ac:dyDescent="0.55000000000000004">
      <c r="A482" s="6">
        <v>43117.40625</v>
      </c>
      <c r="B482" s="1">
        <v>398.9</v>
      </c>
      <c r="C482" s="1">
        <v>1.4</v>
      </c>
      <c r="D482" s="1">
        <v>4.5999999999999996</v>
      </c>
      <c r="E482" s="1">
        <v>1.38E-2</v>
      </c>
      <c r="F482" s="1">
        <v>14</v>
      </c>
      <c r="G482" s="1">
        <v>8.9</v>
      </c>
    </row>
    <row r="483" spans="1:7" x14ac:dyDescent="0.55000000000000004">
      <c r="A483" s="6">
        <v>43117.416666666664</v>
      </c>
      <c r="B483" s="1">
        <v>400.8</v>
      </c>
      <c r="C483" s="1">
        <v>1.8</v>
      </c>
      <c r="D483" s="1">
        <v>4.6100000000000003</v>
      </c>
      <c r="E483" s="1">
        <v>1.383E-2</v>
      </c>
      <c r="F483" s="1">
        <v>14.3</v>
      </c>
      <c r="G483" s="1">
        <v>8.6</v>
      </c>
    </row>
    <row r="484" spans="1:7" x14ac:dyDescent="0.55000000000000004">
      <c r="A484" s="6">
        <v>43117.427083333336</v>
      </c>
      <c r="B484" s="1">
        <v>403.7</v>
      </c>
      <c r="C484" s="1">
        <v>0.9</v>
      </c>
      <c r="D484" s="1">
        <v>4.6100000000000003</v>
      </c>
      <c r="E484" s="1">
        <v>1.383E-2</v>
      </c>
      <c r="F484" s="1">
        <v>14.9</v>
      </c>
      <c r="G484" s="1">
        <v>6.7</v>
      </c>
    </row>
    <row r="485" spans="1:7" x14ac:dyDescent="0.55000000000000004">
      <c r="A485" s="6">
        <v>43117.4375</v>
      </c>
      <c r="B485" s="1">
        <v>398.5</v>
      </c>
      <c r="C485" s="1">
        <v>1.4</v>
      </c>
      <c r="D485" s="1">
        <v>4.5999999999999996</v>
      </c>
      <c r="E485" s="1">
        <v>9.1999999999999998E-3</v>
      </c>
      <c r="F485" s="1">
        <v>13.9</v>
      </c>
      <c r="G485" s="1">
        <v>8.6999999999999993</v>
      </c>
    </row>
    <row r="486" spans="1:7" x14ac:dyDescent="0.55000000000000004">
      <c r="A486" s="6">
        <v>43117.447916666664</v>
      </c>
      <c r="B486" s="1">
        <v>401.6</v>
      </c>
      <c r="C486" s="1">
        <v>1.2</v>
      </c>
      <c r="D486" s="1">
        <v>4.6100000000000003</v>
      </c>
      <c r="E486" s="1">
        <v>9.2200000000000008E-3</v>
      </c>
      <c r="F486" s="1">
        <v>14.3</v>
      </c>
      <c r="G486" s="1">
        <v>7.3</v>
      </c>
    </row>
    <row r="487" spans="1:7" x14ac:dyDescent="0.55000000000000004">
      <c r="A487" s="6"/>
    </row>
    <row r="488" spans="1:7" x14ac:dyDescent="0.55000000000000004">
      <c r="A488" s="6"/>
    </row>
    <row r="489" spans="1:7" x14ac:dyDescent="0.55000000000000004">
      <c r="A489" s="6"/>
    </row>
    <row r="490" spans="1:7" x14ac:dyDescent="0.55000000000000004">
      <c r="A490" s="6"/>
    </row>
    <row r="491" spans="1:7" x14ac:dyDescent="0.55000000000000004">
      <c r="A491" s="6"/>
    </row>
    <row r="492" spans="1:7" x14ac:dyDescent="0.55000000000000004">
      <c r="A492" s="6"/>
    </row>
    <row r="493" spans="1:7" x14ac:dyDescent="0.55000000000000004">
      <c r="A493" s="6"/>
    </row>
    <row r="494" spans="1:7" x14ac:dyDescent="0.55000000000000004">
      <c r="A494" s="6"/>
    </row>
    <row r="495" spans="1:7" x14ac:dyDescent="0.55000000000000004">
      <c r="A495" s="6"/>
    </row>
    <row r="496" spans="1:7" x14ac:dyDescent="0.55000000000000004">
      <c r="A496" s="6"/>
    </row>
    <row r="497" spans="1:1" x14ac:dyDescent="0.55000000000000004">
      <c r="A497" s="6"/>
    </row>
    <row r="498" spans="1:1" x14ac:dyDescent="0.55000000000000004">
      <c r="A498" s="6"/>
    </row>
    <row r="499" spans="1:1" x14ac:dyDescent="0.55000000000000004">
      <c r="A499" s="6"/>
    </row>
    <row r="500" spans="1:1" x14ac:dyDescent="0.55000000000000004">
      <c r="A500" s="6"/>
    </row>
    <row r="501" spans="1:1" x14ac:dyDescent="0.55000000000000004">
      <c r="A501" s="6"/>
    </row>
    <row r="502" spans="1:1" x14ac:dyDescent="0.55000000000000004">
      <c r="A502" s="6"/>
    </row>
    <row r="503" spans="1:1" x14ac:dyDescent="0.55000000000000004">
      <c r="A503" s="6"/>
    </row>
    <row r="504" spans="1:1" x14ac:dyDescent="0.55000000000000004">
      <c r="A504" s="6"/>
    </row>
    <row r="505" spans="1:1" x14ac:dyDescent="0.55000000000000004">
      <c r="A505" s="6"/>
    </row>
    <row r="506" spans="1:1" x14ac:dyDescent="0.55000000000000004">
      <c r="A506" s="6"/>
    </row>
    <row r="507" spans="1:1" x14ac:dyDescent="0.55000000000000004">
      <c r="A507" s="6"/>
    </row>
    <row r="508" spans="1:1" x14ac:dyDescent="0.55000000000000004">
      <c r="A508" s="6"/>
    </row>
    <row r="509" spans="1:1" x14ac:dyDescent="0.55000000000000004">
      <c r="A509" s="6"/>
    </row>
    <row r="510" spans="1:1" x14ac:dyDescent="0.55000000000000004">
      <c r="A510" s="6"/>
    </row>
    <row r="511" spans="1:1" x14ac:dyDescent="0.55000000000000004">
      <c r="A511" s="6"/>
    </row>
    <row r="512" spans="1:1" x14ac:dyDescent="0.55000000000000004">
      <c r="A512" s="6"/>
    </row>
    <row r="513" spans="1:1" x14ac:dyDescent="0.55000000000000004">
      <c r="A513" s="6"/>
    </row>
    <row r="514" spans="1:1" x14ac:dyDescent="0.55000000000000004">
      <c r="A514" s="6"/>
    </row>
    <row r="515" spans="1:1" x14ac:dyDescent="0.55000000000000004">
      <c r="A515" s="6"/>
    </row>
    <row r="516" spans="1:1" x14ac:dyDescent="0.55000000000000004">
      <c r="A516" s="6"/>
    </row>
    <row r="517" spans="1:1" x14ac:dyDescent="0.55000000000000004">
      <c r="A517" s="6"/>
    </row>
    <row r="518" spans="1:1" x14ac:dyDescent="0.55000000000000004">
      <c r="A518" s="6"/>
    </row>
    <row r="519" spans="1:1" x14ac:dyDescent="0.55000000000000004">
      <c r="A519" s="6"/>
    </row>
    <row r="520" spans="1:1" x14ac:dyDescent="0.55000000000000004">
      <c r="A520" s="6"/>
    </row>
    <row r="521" spans="1:1" x14ac:dyDescent="0.55000000000000004">
      <c r="A521" s="6"/>
    </row>
    <row r="522" spans="1:1" x14ac:dyDescent="0.55000000000000004">
      <c r="A522" s="6"/>
    </row>
    <row r="523" spans="1:1" x14ac:dyDescent="0.55000000000000004">
      <c r="A523" s="6"/>
    </row>
    <row r="524" spans="1:1" x14ac:dyDescent="0.55000000000000004">
      <c r="A524" s="6"/>
    </row>
    <row r="525" spans="1:1" x14ac:dyDescent="0.55000000000000004">
      <c r="A525" s="6"/>
    </row>
    <row r="526" spans="1:1" x14ac:dyDescent="0.55000000000000004">
      <c r="A526" s="6"/>
    </row>
    <row r="527" spans="1:1" x14ac:dyDescent="0.55000000000000004">
      <c r="A527" s="6"/>
    </row>
    <row r="528" spans="1:1" x14ac:dyDescent="0.55000000000000004">
      <c r="A528" s="6"/>
    </row>
    <row r="529" spans="1:1" x14ac:dyDescent="0.55000000000000004">
      <c r="A529" s="6"/>
    </row>
    <row r="530" spans="1:1" x14ac:dyDescent="0.55000000000000004">
      <c r="A530" s="6"/>
    </row>
    <row r="531" spans="1:1" x14ac:dyDescent="0.55000000000000004">
      <c r="A531" s="6"/>
    </row>
    <row r="532" spans="1:1" x14ac:dyDescent="0.55000000000000004">
      <c r="A532" s="6"/>
    </row>
    <row r="533" spans="1:1" x14ac:dyDescent="0.55000000000000004">
      <c r="A533" s="6"/>
    </row>
    <row r="534" spans="1:1" x14ac:dyDescent="0.55000000000000004">
      <c r="A534" s="6"/>
    </row>
    <row r="535" spans="1:1" x14ac:dyDescent="0.55000000000000004">
      <c r="A535" s="6"/>
    </row>
    <row r="536" spans="1:1" x14ac:dyDescent="0.55000000000000004">
      <c r="A536" s="6"/>
    </row>
    <row r="537" spans="1:1" x14ac:dyDescent="0.55000000000000004">
      <c r="A537" s="6"/>
    </row>
    <row r="538" spans="1:1" x14ac:dyDescent="0.55000000000000004">
      <c r="A538" s="6"/>
    </row>
    <row r="539" spans="1:1" x14ac:dyDescent="0.55000000000000004">
      <c r="A539" s="6"/>
    </row>
    <row r="540" spans="1:1" x14ac:dyDescent="0.55000000000000004">
      <c r="A540" s="6"/>
    </row>
    <row r="541" spans="1:1" x14ac:dyDescent="0.55000000000000004">
      <c r="A541" s="6"/>
    </row>
    <row r="542" spans="1:1" x14ac:dyDescent="0.55000000000000004">
      <c r="A542" s="6"/>
    </row>
    <row r="543" spans="1:1" x14ac:dyDescent="0.55000000000000004">
      <c r="A543" s="6"/>
    </row>
    <row r="544" spans="1:1" x14ac:dyDescent="0.55000000000000004">
      <c r="A544" s="6"/>
    </row>
    <row r="545" spans="1:1" x14ac:dyDescent="0.55000000000000004">
      <c r="A545" s="6"/>
    </row>
    <row r="546" spans="1:1" x14ac:dyDescent="0.55000000000000004">
      <c r="A546" s="6"/>
    </row>
    <row r="547" spans="1:1" x14ac:dyDescent="0.55000000000000004">
      <c r="A547" s="6"/>
    </row>
    <row r="548" spans="1:1" x14ac:dyDescent="0.55000000000000004">
      <c r="A548" s="6"/>
    </row>
    <row r="549" spans="1:1" x14ac:dyDescent="0.55000000000000004">
      <c r="A549" s="6"/>
    </row>
    <row r="550" spans="1:1" x14ac:dyDescent="0.55000000000000004">
      <c r="A550" s="6"/>
    </row>
    <row r="551" spans="1:1" x14ac:dyDescent="0.55000000000000004">
      <c r="A551" s="6"/>
    </row>
    <row r="552" spans="1:1" x14ac:dyDescent="0.55000000000000004">
      <c r="A552" s="6"/>
    </row>
    <row r="553" spans="1:1" x14ac:dyDescent="0.55000000000000004">
      <c r="A553" s="6"/>
    </row>
    <row r="554" spans="1:1" x14ac:dyDescent="0.55000000000000004">
      <c r="A554" s="6"/>
    </row>
    <row r="555" spans="1:1" x14ac:dyDescent="0.55000000000000004">
      <c r="A555" s="6"/>
    </row>
    <row r="556" spans="1:1" x14ac:dyDescent="0.55000000000000004">
      <c r="A556" s="6"/>
    </row>
    <row r="557" spans="1:1" x14ac:dyDescent="0.55000000000000004">
      <c r="A557" s="6"/>
    </row>
    <row r="558" spans="1:1" x14ac:dyDescent="0.55000000000000004">
      <c r="A558" s="6"/>
    </row>
    <row r="559" spans="1:1" x14ac:dyDescent="0.55000000000000004">
      <c r="A559" s="6"/>
    </row>
    <row r="560" spans="1:1" x14ac:dyDescent="0.55000000000000004">
      <c r="A560" s="6"/>
    </row>
    <row r="561" spans="1:1" x14ac:dyDescent="0.55000000000000004">
      <c r="A561" s="6"/>
    </row>
    <row r="562" spans="1:1" x14ac:dyDescent="0.55000000000000004">
      <c r="A562" s="6"/>
    </row>
    <row r="563" spans="1:1" x14ac:dyDescent="0.55000000000000004">
      <c r="A563" s="6"/>
    </row>
    <row r="564" spans="1:1" x14ac:dyDescent="0.55000000000000004">
      <c r="A564" s="6"/>
    </row>
    <row r="565" spans="1:1" x14ac:dyDescent="0.55000000000000004">
      <c r="A565" s="6"/>
    </row>
    <row r="566" spans="1:1" x14ac:dyDescent="0.55000000000000004">
      <c r="A566" s="6"/>
    </row>
    <row r="567" spans="1:1" x14ac:dyDescent="0.55000000000000004">
      <c r="A567" s="6"/>
    </row>
    <row r="568" spans="1:1" x14ac:dyDescent="0.55000000000000004">
      <c r="A568" s="6"/>
    </row>
    <row r="569" spans="1:1" x14ac:dyDescent="0.55000000000000004">
      <c r="A569" s="6"/>
    </row>
    <row r="570" spans="1:1" x14ac:dyDescent="0.55000000000000004">
      <c r="A570" s="6"/>
    </row>
    <row r="571" spans="1:1" x14ac:dyDescent="0.55000000000000004">
      <c r="A571" s="6"/>
    </row>
    <row r="572" spans="1:1" x14ac:dyDescent="0.55000000000000004">
      <c r="A572" s="6"/>
    </row>
    <row r="573" spans="1:1" x14ac:dyDescent="0.55000000000000004">
      <c r="A573" s="6"/>
    </row>
    <row r="574" spans="1:1" x14ac:dyDescent="0.55000000000000004">
      <c r="A574" s="6"/>
    </row>
    <row r="575" spans="1:1" x14ac:dyDescent="0.55000000000000004">
      <c r="A575" s="6"/>
    </row>
    <row r="576" spans="1:1" x14ac:dyDescent="0.55000000000000004">
      <c r="A576" s="6"/>
    </row>
    <row r="577" spans="1:1" x14ac:dyDescent="0.55000000000000004">
      <c r="A577" s="6"/>
    </row>
    <row r="578" spans="1:1" x14ac:dyDescent="0.55000000000000004">
      <c r="A578" s="6"/>
    </row>
    <row r="579" spans="1:1" x14ac:dyDescent="0.55000000000000004">
      <c r="A579" s="6"/>
    </row>
    <row r="580" spans="1:1" x14ac:dyDescent="0.55000000000000004">
      <c r="A580" s="6"/>
    </row>
    <row r="581" spans="1:1" x14ac:dyDescent="0.55000000000000004">
      <c r="A581" s="6"/>
    </row>
    <row r="582" spans="1:1" x14ac:dyDescent="0.55000000000000004">
      <c r="A582" s="6"/>
    </row>
    <row r="583" spans="1:1" x14ac:dyDescent="0.55000000000000004">
      <c r="A583" s="6"/>
    </row>
    <row r="584" spans="1:1" x14ac:dyDescent="0.55000000000000004">
      <c r="A584" s="6"/>
    </row>
    <row r="585" spans="1:1" x14ac:dyDescent="0.55000000000000004">
      <c r="A585" s="6"/>
    </row>
    <row r="586" spans="1:1" x14ac:dyDescent="0.55000000000000004">
      <c r="A586" s="6"/>
    </row>
    <row r="587" spans="1:1" x14ac:dyDescent="0.55000000000000004">
      <c r="A587" s="6"/>
    </row>
    <row r="588" spans="1:1" x14ac:dyDescent="0.55000000000000004">
      <c r="A588" s="6"/>
    </row>
    <row r="589" spans="1:1" x14ac:dyDescent="0.55000000000000004">
      <c r="A589" s="6"/>
    </row>
    <row r="590" spans="1:1" x14ac:dyDescent="0.55000000000000004">
      <c r="A590" s="6"/>
    </row>
    <row r="591" spans="1:1" x14ac:dyDescent="0.55000000000000004">
      <c r="A591" s="6"/>
    </row>
    <row r="592" spans="1:1" x14ac:dyDescent="0.55000000000000004">
      <c r="A592" s="6"/>
    </row>
    <row r="593" spans="1:1" x14ac:dyDescent="0.55000000000000004">
      <c r="A593" s="6"/>
    </row>
    <row r="594" spans="1:1" x14ac:dyDescent="0.55000000000000004">
      <c r="A594" s="6"/>
    </row>
    <row r="595" spans="1:1" x14ac:dyDescent="0.55000000000000004">
      <c r="A595" s="6"/>
    </row>
    <row r="596" spans="1:1" x14ac:dyDescent="0.55000000000000004">
      <c r="A596" s="6"/>
    </row>
    <row r="597" spans="1:1" x14ac:dyDescent="0.55000000000000004">
      <c r="A597" s="6"/>
    </row>
    <row r="598" spans="1:1" x14ac:dyDescent="0.55000000000000004">
      <c r="A598" s="6"/>
    </row>
    <row r="599" spans="1:1" x14ac:dyDescent="0.55000000000000004">
      <c r="A599" s="6"/>
    </row>
    <row r="600" spans="1:1" x14ac:dyDescent="0.55000000000000004">
      <c r="A600" s="6"/>
    </row>
    <row r="601" spans="1:1" x14ac:dyDescent="0.55000000000000004">
      <c r="A601" s="6"/>
    </row>
    <row r="602" spans="1:1" x14ac:dyDescent="0.55000000000000004">
      <c r="A602" s="6"/>
    </row>
    <row r="603" spans="1:1" x14ac:dyDescent="0.55000000000000004">
      <c r="A603" s="6"/>
    </row>
    <row r="604" spans="1:1" x14ac:dyDescent="0.55000000000000004">
      <c r="A604" s="6"/>
    </row>
    <row r="605" spans="1:1" x14ac:dyDescent="0.55000000000000004">
      <c r="A605" s="6"/>
    </row>
    <row r="606" spans="1:1" x14ac:dyDescent="0.55000000000000004">
      <c r="A606" s="6"/>
    </row>
    <row r="607" spans="1:1" x14ac:dyDescent="0.55000000000000004">
      <c r="A607" s="6"/>
    </row>
    <row r="608" spans="1:1" x14ac:dyDescent="0.55000000000000004">
      <c r="A608" s="6"/>
    </row>
    <row r="609" spans="1:1" x14ac:dyDescent="0.55000000000000004">
      <c r="A609" s="6"/>
    </row>
    <row r="610" spans="1:1" x14ac:dyDescent="0.55000000000000004">
      <c r="A610" s="6"/>
    </row>
    <row r="611" spans="1:1" x14ac:dyDescent="0.55000000000000004">
      <c r="A611" s="6"/>
    </row>
    <row r="612" spans="1:1" x14ac:dyDescent="0.55000000000000004">
      <c r="A612" s="6"/>
    </row>
    <row r="613" spans="1:1" x14ac:dyDescent="0.55000000000000004">
      <c r="A613" s="6"/>
    </row>
    <row r="614" spans="1:1" x14ac:dyDescent="0.55000000000000004">
      <c r="A614" s="6"/>
    </row>
    <row r="615" spans="1:1" x14ac:dyDescent="0.55000000000000004">
      <c r="A615" s="6"/>
    </row>
    <row r="616" spans="1:1" x14ac:dyDescent="0.55000000000000004">
      <c r="A616" s="6"/>
    </row>
    <row r="617" spans="1:1" x14ac:dyDescent="0.55000000000000004">
      <c r="A617" s="6"/>
    </row>
    <row r="618" spans="1:1" x14ac:dyDescent="0.55000000000000004">
      <c r="A618" s="6"/>
    </row>
    <row r="619" spans="1:1" x14ac:dyDescent="0.55000000000000004">
      <c r="A619" s="6"/>
    </row>
    <row r="620" spans="1:1" x14ac:dyDescent="0.55000000000000004">
      <c r="A620" s="6"/>
    </row>
    <row r="621" spans="1:1" x14ac:dyDescent="0.55000000000000004">
      <c r="A621" s="6"/>
    </row>
    <row r="622" spans="1:1" x14ac:dyDescent="0.55000000000000004">
      <c r="A622" s="6"/>
    </row>
    <row r="623" spans="1:1" x14ac:dyDescent="0.55000000000000004">
      <c r="A623" s="6"/>
    </row>
    <row r="624" spans="1:1" x14ac:dyDescent="0.55000000000000004">
      <c r="A624" s="6"/>
    </row>
    <row r="625" spans="1:1" x14ac:dyDescent="0.55000000000000004">
      <c r="A625" s="6"/>
    </row>
    <row r="626" spans="1:1" x14ac:dyDescent="0.55000000000000004">
      <c r="A626" s="6"/>
    </row>
    <row r="627" spans="1:1" x14ac:dyDescent="0.55000000000000004">
      <c r="A627" s="6"/>
    </row>
    <row r="628" spans="1:1" x14ac:dyDescent="0.55000000000000004">
      <c r="A628" s="6"/>
    </row>
    <row r="629" spans="1:1" x14ac:dyDescent="0.55000000000000004">
      <c r="A629" s="6"/>
    </row>
    <row r="630" spans="1:1" x14ac:dyDescent="0.55000000000000004">
      <c r="A630" s="6"/>
    </row>
    <row r="631" spans="1:1" x14ac:dyDescent="0.55000000000000004">
      <c r="A631" s="6"/>
    </row>
    <row r="632" spans="1:1" x14ac:dyDescent="0.55000000000000004">
      <c r="A632" s="6"/>
    </row>
    <row r="633" spans="1:1" x14ac:dyDescent="0.55000000000000004">
      <c r="A633" s="6"/>
    </row>
    <row r="634" spans="1:1" x14ac:dyDescent="0.55000000000000004">
      <c r="A634" s="6"/>
    </row>
    <row r="635" spans="1:1" x14ac:dyDescent="0.55000000000000004">
      <c r="A635" s="6"/>
    </row>
    <row r="636" spans="1:1" x14ac:dyDescent="0.55000000000000004">
      <c r="A636" s="6"/>
    </row>
    <row r="637" spans="1:1" x14ac:dyDescent="0.55000000000000004">
      <c r="A637" s="6"/>
    </row>
    <row r="638" spans="1:1" x14ac:dyDescent="0.55000000000000004">
      <c r="A638" s="6"/>
    </row>
    <row r="639" spans="1:1" x14ac:dyDescent="0.55000000000000004">
      <c r="A639" s="6"/>
    </row>
    <row r="640" spans="1:1" x14ac:dyDescent="0.55000000000000004">
      <c r="A640" s="6"/>
    </row>
    <row r="641" spans="1:1" x14ac:dyDescent="0.55000000000000004">
      <c r="A641" s="6"/>
    </row>
    <row r="642" spans="1:1" x14ac:dyDescent="0.55000000000000004">
      <c r="A642" s="6"/>
    </row>
    <row r="643" spans="1:1" x14ac:dyDescent="0.55000000000000004">
      <c r="A643" s="6"/>
    </row>
    <row r="644" spans="1:1" x14ac:dyDescent="0.55000000000000004">
      <c r="A644" s="6"/>
    </row>
    <row r="645" spans="1:1" x14ac:dyDescent="0.55000000000000004">
      <c r="A645" s="6"/>
    </row>
    <row r="646" spans="1:1" x14ac:dyDescent="0.55000000000000004">
      <c r="A646" s="6"/>
    </row>
    <row r="647" spans="1:1" x14ac:dyDescent="0.55000000000000004">
      <c r="A647" s="6"/>
    </row>
    <row r="648" spans="1:1" x14ac:dyDescent="0.55000000000000004">
      <c r="A648" s="6"/>
    </row>
    <row r="649" spans="1:1" x14ac:dyDescent="0.55000000000000004">
      <c r="A649" s="6"/>
    </row>
    <row r="650" spans="1:1" x14ac:dyDescent="0.55000000000000004">
      <c r="A650" s="6"/>
    </row>
    <row r="651" spans="1:1" x14ac:dyDescent="0.55000000000000004">
      <c r="A651" s="6"/>
    </row>
    <row r="652" spans="1:1" x14ac:dyDescent="0.55000000000000004">
      <c r="A652" s="6"/>
    </row>
    <row r="653" spans="1:1" x14ac:dyDescent="0.55000000000000004">
      <c r="A653" s="6"/>
    </row>
    <row r="654" spans="1:1" x14ac:dyDescent="0.55000000000000004">
      <c r="A654" s="6"/>
    </row>
    <row r="655" spans="1:1" x14ac:dyDescent="0.55000000000000004">
      <c r="A655" s="6"/>
    </row>
    <row r="656" spans="1:1" x14ac:dyDescent="0.55000000000000004">
      <c r="A656" s="6"/>
    </row>
    <row r="657" spans="1:1" x14ac:dyDescent="0.55000000000000004">
      <c r="A657" s="6"/>
    </row>
    <row r="658" spans="1:1" x14ac:dyDescent="0.55000000000000004">
      <c r="A658" s="6"/>
    </row>
    <row r="659" spans="1:1" x14ac:dyDescent="0.55000000000000004">
      <c r="A659" s="6"/>
    </row>
    <row r="660" spans="1:1" x14ac:dyDescent="0.55000000000000004">
      <c r="A660" s="6"/>
    </row>
    <row r="661" spans="1:1" x14ac:dyDescent="0.55000000000000004">
      <c r="A661" s="6"/>
    </row>
    <row r="662" spans="1:1" x14ac:dyDescent="0.55000000000000004">
      <c r="A662" s="6"/>
    </row>
    <row r="663" spans="1:1" x14ac:dyDescent="0.55000000000000004">
      <c r="A663" s="6"/>
    </row>
    <row r="664" spans="1:1" x14ac:dyDescent="0.55000000000000004">
      <c r="A664" s="6"/>
    </row>
    <row r="665" spans="1:1" x14ac:dyDescent="0.55000000000000004">
      <c r="A665" s="6"/>
    </row>
    <row r="666" spans="1:1" x14ac:dyDescent="0.55000000000000004">
      <c r="A666" s="6"/>
    </row>
    <row r="667" spans="1:1" x14ac:dyDescent="0.55000000000000004">
      <c r="A667" s="6"/>
    </row>
    <row r="668" spans="1:1" x14ac:dyDescent="0.55000000000000004">
      <c r="A668" s="6"/>
    </row>
    <row r="669" spans="1:1" x14ac:dyDescent="0.55000000000000004">
      <c r="A669" s="6"/>
    </row>
    <row r="670" spans="1:1" x14ac:dyDescent="0.55000000000000004">
      <c r="A670" s="6"/>
    </row>
    <row r="671" spans="1:1" x14ac:dyDescent="0.55000000000000004">
      <c r="A671" s="6"/>
    </row>
    <row r="672" spans="1:1" x14ac:dyDescent="0.55000000000000004">
      <c r="A672" s="6"/>
    </row>
    <row r="673" spans="1:1" x14ac:dyDescent="0.55000000000000004">
      <c r="A673" s="6"/>
    </row>
    <row r="674" spans="1:1" x14ac:dyDescent="0.55000000000000004">
      <c r="A674" s="6"/>
    </row>
    <row r="675" spans="1:1" x14ac:dyDescent="0.55000000000000004">
      <c r="A675" s="6"/>
    </row>
    <row r="676" spans="1:1" x14ac:dyDescent="0.55000000000000004">
      <c r="A676" s="6"/>
    </row>
    <row r="677" spans="1:1" x14ac:dyDescent="0.55000000000000004">
      <c r="A677" s="6"/>
    </row>
    <row r="678" spans="1:1" x14ac:dyDescent="0.55000000000000004">
      <c r="A678" s="6"/>
    </row>
    <row r="679" spans="1:1" x14ac:dyDescent="0.55000000000000004">
      <c r="A679" s="6"/>
    </row>
    <row r="680" spans="1:1" x14ac:dyDescent="0.55000000000000004">
      <c r="A680" s="6"/>
    </row>
    <row r="681" spans="1:1" x14ac:dyDescent="0.55000000000000004">
      <c r="A681" s="6"/>
    </row>
    <row r="682" spans="1:1" x14ac:dyDescent="0.55000000000000004">
      <c r="A682" s="6"/>
    </row>
    <row r="683" spans="1:1" x14ac:dyDescent="0.55000000000000004">
      <c r="A683" s="6"/>
    </row>
    <row r="684" spans="1:1" x14ac:dyDescent="0.55000000000000004">
      <c r="A684" s="6"/>
    </row>
    <row r="685" spans="1:1" x14ac:dyDescent="0.55000000000000004">
      <c r="A685" s="6"/>
    </row>
    <row r="686" spans="1:1" x14ac:dyDescent="0.55000000000000004">
      <c r="A686" s="6"/>
    </row>
    <row r="687" spans="1:1" x14ac:dyDescent="0.55000000000000004">
      <c r="A687" s="6"/>
    </row>
    <row r="688" spans="1:1" x14ac:dyDescent="0.55000000000000004">
      <c r="A688" s="6"/>
    </row>
    <row r="689" spans="1:1" x14ac:dyDescent="0.55000000000000004">
      <c r="A689" s="6"/>
    </row>
    <row r="690" spans="1:1" x14ac:dyDescent="0.55000000000000004">
      <c r="A690" s="6"/>
    </row>
    <row r="691" spans="1:1" x14ac:dyDescent="0.55000000000000004">
      <c r="A691" s="6"/>
    </row>
    <row r="692" spans="1:1" x14ac:dyDescent="0.55000000000000004">
      <c r="A692" s="6"/>
    </row>
    <row r="693" spans="1:1" x14ac:dyDescent="0.55000000000000004">
      <c r="A693" s="6"/>
    </row>
    <row r="694" spans="1:1" x14ac:dyDescent="0.55000000000000004">
      <c r="A694" s="6"/>
    </row>
    <row r="695" spans="1:1" x14ac:dyDescent="0.55000000000000004">
      <c r="A695" s="6"/>
    </row>
    <row r="696" spans="1:1" x14ac:dyDescent="0.55000000000000004">
      <c r="A696" s="6"/>
    </row>
    <row r="697" spans="1:1" x14ac:dyDescent="0.55000000000000004">
      <c r="A697" s="6"/>
    </row>
    <row r="698" spans="1:1" x14ac:dyDescent="0.55000000000000004">
      <c r="A698" s="6"/>
    </row>
    <row r="699" spans="1:1" x14ac:dyDescent="0.55000000000000004">
      <c r="A699" s="6"/>
    </row>
    <row r="700" spans="1:1" x14ac:dyDescent="0.55000000000000004">
      <c r="A700" s="6"/>
    </row>
    <row r="701" spans="1:1" x14ac:dyDescent="0.55000000000000004">
      <c r="A701" s="6"/>
    </row>
    <row r="702" spans="1:1" x14ac:dyDescent="0.55000000000000004">
      <c r="A702" s="6"/>
    </row>
    <row r="703" spans="1:1" x14ac:dyDescent="0.55000000000000004">
      <c r="A703" s="6"/>
    </row>
    <row r="704" spans="1:1" x14ac:dyDescent="0.55000000000000004">
      <c r="A704" s="6"/>
    </row>
    <row r="705" spans="1:1" x14ac:dyDescent="0.55000000000000004">
      <c r="A705" s="6"/>
    </row>
    <row r="706" spans="1:1" x14ac:dyDescent="0.55000000000000004">
      <c r="A706" s="6"/>
    </row>
    <row r="707" spans="1:1" x14ac:dyDescent="0.55000000000000004">
      <c r="A707" s="6"/>
    </row>
    <row r="708" spans="1:1" x14ac:dyDescent="0.55000000000000004">
      <c r="A708" s="6"/>
    </row>
    <row r="709" spans="1:1" x14ac:dyDescent="0.55000000000000004">
      <c r="A709" s="6"/>
    </row>
    <row r="710" spans="1:1" x14ac:dyDescent="0.55000000000000004">
      <c r="A710" s="6"/>
    </row>
    <row r="711" spans="1:1" x14ac:dyDescent="0.55000000000000004">
      <c r="A711" s="6"/>
    </row>
    <row r="712" spans="1:1" x14ac:dyDescent="0.55000000000000004">
      <c r="A712" s="6"/>
    </row>
    <row r="713" spans="1:1" x14ac:dyDescent="0.55000000000000004">
      <c r="A713" s="6"/>
    </row>
    <row r="714" spans="1:1" x14ac:dyDescent="0.55000000000000004">
      <c r="A714" s="6"/>
    </row>
    <row r="715" spans="1:1" x14ac:dyDescent="0.55000000000000004">
      <c r="A715" s="6"/>
    </row>
    <row r="716" spans="1:1" x14ac:dyDescent="0.55000000000000004">
      <c r="A716" s="6"/>
    </row>
    <row r="717" spans="1:1" x14ac:dyDescent="0.55000000000000004">
      <c r="A717" s="6"/>
    </row>
    <row r="718" spans="1:1" x14ac:dyDescent="0.55000000000000004">
      <c r="A718" s="6"/>
    </row>
    <row r="719" spans="1:1" x14ac:dyDescent="0.55000000000000004">
      <c r="A719" s="6"/>
    </row>
    <row r="720" spans="1:1" x14ac:dyDescent="0.55000000000000004">
      <c r="A720" s="6"/>
    </row>
    <row r="721" spans="1:1" x14ac:dyDescent="0.55000000000000004">
      <c r="A721" s="6"/>
    </row>
    <row r="722" spans="1:1" x14ac:dyDescent="0.55000000000000004">
      <c r="A722" s="6"/>
    </row>
    <row r="723" spans="1:1" x14ac:dyDescent="0.55000000000000004">
      <c r="A723" s="6"/>
    </row>
    <row r="724" spans="1:1" x14ac:dyDescent="0.55000000000000004">
      <c r="A724" s="6"/>
    </row>
    <row r="725" spans="1:1" x14ac:dyDescent="0.55000000000000004">
      <c r="A725" s="6"/>
    </row>
    <row r="726" spans="1:1" x14ac:dyDescent="0.55000000000000004">
      <c r="A726" s="6"/>
    </row>
    <row r="727" spans="1:1" x14ac:dyDescent="0.55000000000000004">
      <c r="A727" s="6"/>
    </row>
    <row r="728" spans="1:1" x14ac:dyDescent="0.55000000000000004">
      <c r="A728" s="6"/>
    </row>
    <row r="729" spans="1:1" x14ac:dyDescent="0.55000000000000004">
      <c r="A729" s="6"/>
    </row>
    <row r="730" spans="1:1" x14ac:dyDescent="0.55000000000000004">
      <c r="A730" s="6"/>
    </row>
    <row r="731" spans="1:1" x14ac:dyDescent="0.55000000000000004">
      <c r="A731" s="6"/>
    </row>
    <row r="732" spans="1:1" x14ac:dyDescent="0.55000000000000004">
      <c r="A732" s="6"/>
    </row>
    <row r="733" spans="1:1" x14ac:dyDescent="0.55000000000000004">
      <c r="A733" s="6"/>
    </row>
    <row r="734" spans="1:1" x14ac:dyDescent="0.55000000000000004">
      <c r="A734" s="6"/>
    </row>
    <row r="735" spans="1:1" x14ac:dyDescent="0.55000000000000004">
      <c r="A735" s="6"/>
    </row>
    <row r="736" spans="1:1" x14ac:dyDescent="0.55000000000000004">
      <c r="A736" s="6"/>
    </row>
    <row r="737" spans="1:1" x14ac:dyDescent="0.55000000000000004">
      <c r="A737" s="6"/>
    </row>
    <row r="738" spans="1:1" x14ac:dyDescent="0.55000000000000004">
      <c r="A738" s="6"/>
    </row>
    <row r="739" spans="1:1" x14ac:dyDescent="0.55000000000000004">
      <c r="A739" s="6"/>
    </row>
    <row r="740" spans="1:1" x14ac:dyDescent="0.55000000000000004">
      <c r="A740" s="6"/>
    </row>
    <row r="741" spans="1:1" x14ac:dyDescent="0.55000000000000004">
      <c r="A741" s="6"/>
    </row>
    <row r="742" spans="1:1" x14ac:dyDescent="0.55000000000000004">
      <c r="A742" s="6"/>
    </row>
    <row r="743" spans="1:1" x14ac:dyDescent="0.55000000000000004">
      <c r="A743" s="6"/>
    </row>
    <row r="744" spans="1:1" x14ac:dyDescent="0.55000000000000004">
      <c r="A744" s="6"/>
    </row>
    <row r="745" spans="1:1" x14ac:dyDescent="0.55000000000000004">
      <c r="A745" s="6"/>
    </row>
    <row r="746" spans="1:1" x14ac:dyDescent="0.55000000000000004">
      <c r="A746" s="6"/>
    </row>
    <row r="747" spans="1:1" x14ac:dyDescent="0.55000000000000004">
      <c r="A747" s="6"/>
    </row>
    <row r="748" spans="1:1" x14ac:dyDescent="0.55000000000000004">
      <c r="A748" s="6"/>
    </row>
    <row r="749" spans="1:1" x14ac:dyDescent="0.55000000000000004">
      <c r="A749" s="6"/>
    </row>
    <row r="750" spans="1:1" x14ac:dyDescent="0.55000000000000004">
      <c r="A750" s="6"/>
    </row>
    <row r="751" spans="1:1" x14ac:dyDescent="0.55000000000000004">
      <c r="A751" s="6"/>
    </row>
    <row r="752" spans="1:1" x14ac:dyDescent="0.55000000000000004">
      <c r="A752" s="6"/>
    </row>
    <row r="753" spans="1:1" x14ac:dyDescent="0.55000000000000004">
      <c r="A753" s="6"/>
    </row>
    <row r="754" spans="1:1" x14ac:dyDescent="0.55000000000000004">
      <c r="A754" s="6"/>
    </row>
    <row r="755" spans="1:1" x14ac:dyDescent="0.55000000000000004">
      <c r="A755" s="6"/>
    </row>
    <row r="756" spans="1:1" x14ac:dyDescent="0.55000000000000004">
      <c r="A756" s="6"/>
    </row>
    <row r="757" spans="1:1" x14ac:dyDescent="0.55000000000000004">
      <c r="A757" s="6"/>
    </row>
    <row r="758" spans="1:1" x14ac:dyDescent="0.55000000000000004">
      <c r="A758" s="6"/>
    </row>
    <row r="759" spans="1:1" x14ac:dyDescent="0.55000000000000004">
      <c r="A759" s="6"/>
    </row>
    <row r="760" spans="1:1" x14ac:dyDescent="0.55000000000000004">
      <c r="A760" s="6"/>
    </row>
    <row r="761" spans="1:1" x14ac:dyDescent="0.55000000000000004">
      <c r="A761" s="6"/>
    </row>
    <row r="762" spans="1:1" x14ac:dyDescent="0.55000000000000004">
      <c r="A762" s="6"/>
    </row>
    <row r="763" spans="1:1" x14ac:dyDescent="0.55000000000000004">
      <c r="A763" s="6"/>
    </row>
    <row r="764" spans="1:1" x14ac:dyDescent="0.55000000000000004">
      <c r="A764" s="6"/>
    </row>
    <row r="765" spans="1:1" x14ac:dyDescent="0.55000000000000004">
      <c r="A765" s="6"/>
    </row>
    <row r="766" spans="1:1" x14ac:dyDescent="0.55000000000000004">
      <c r="A766" s="6"/>
    </row>
    <row r="767" spans="1:1" x14ac:dyDescent="0.55000000000000004">
      <c r="A767" s="6"/>
    </row>
    <row r="768" spans="1:1" x14ac:dyDescent="0.55000000000000004">
      <c r="A768" s="6"/>
    </row>
    <row r="769" spans="1:1" x14ac:dyDescent="0.55000000000000004">
      <c r="A769" s="6"/>
    </row>
    <row r="770" spans="1:1" x14ac:dyDescent="0.55000000000000004">
      <c r="A770" s="6"/>
    </row>
    <row r="771" spans="1:1" x14ac:dyDescent="0.55000000000000004">
      <c r="A771" s="6"/>
    </row>
    <row r="772" spans="1:1" x14ac:dyDescent="0.55000000000000004">
      <c r="A772" s="6"/>
    </row>
    <row r="773" spans="1:1" x14ac:dyDescent="0.55000000000000004">
      <c r="A773" s="6"/>
    </row>
    <row r="774" spans="1:1" x14ac:dyDescent="0.55000000000000004">
      <c r="A774" s="6"/>
    </row>
    <row r="775" spans="1:1" x14ac:dyDescent="0.55000000000000004">
      <c r="A775" s="6"/>
    </row>
    <row r="776" spans="1:1" x14ac:dyDescent="0.55000000000000004">
      <c r="A776" s="6"/>
    </row>
    <row r="777" spans="1:1" x14ac:dyDescent="0.55000000000000004">
      <c r="A777" s="6"/>
    </row>
    <row r="778" spans="1:1" x14ac:dyDescent="0.55000000000000004">
      <c r="A778" s="6"/>
    </row>
    <row r="779" spans="1:1" x14ac:dyDescent="0.55000000000000004">
      <c r="A779" s="6"/>
    </row>
    <row r="780" spans="1:1" x14ac:dyDescent="0.55000000000000004">
      <c r="A780" s="6"/>
    </row>
    <row r="781" spans="1:1" x14ac:dyDescent="0.55000000000000004">
      <c r="A781" s="6"/>
    </row>
    <row r="782" spans="1:1" x14ac:dyDescent="0.55000000000000004">
      <c r="A782" s="6"/>
    </row>
    <row r="783" spans="1:1" x14ac:dyDescent="0.55000000000000004">
      <c r="A783" s="6"/>
    </row>
    <row r="784" spans="1:1" x14ac:dyDescent="0.55000000000000004">
      <c r="A784" s="6"/>
    </row>
    <row r="785" spans="1:1" x14ac:dyDescent="0.55000000000000004">
      <c r="A785" s="6"/>
    </row>
    <row r="786" spans="1:1" x14ac:dyDescent="0.55000000000000004">
      <c r="A786" s="6"/>
    </row>
    <row r="787" spans="1:1" x14ac:dyDescent="0.55000000000000004">
      <c r="A787" s="6"/>
    </row>
    <row r="788" spans="1:1" x14ac:dyDescent="0.55000000000000004">
      <c r="A788" s="6"/>
    </row>
    <row r="789" spans="1:1" x14ac:dyDescent="0.55000000000000004">
      <c r="A789" s="6"/>
    </row>
    <row r="790" spans="1:1" x14ac:dyDescent="0.55000000000000004">
      <c r="A790" s="6"/>
    </row>
    <row r="791" spans="1:1" x14ac:dyDescent="0.55000000000000004">
      <c r="A791" s="6"/>
    </row>
    <row r="792" spans="1:1" x14ac:dyDescent="0.55000000000000004">
      <c r="A792" s="6"/>
    </row>
    <row r="793" spans="1:1" x14ac:dyDescent="0.55000000000000004">
      <c r="A793" s="6"/>
    </row>
    <row r="794" spans="1:1" x14ac:dyDescent="0.55000000000000004">
      <c r="A794" s="6"/>
    </row>
    <row r="795" spans="1:1" x14ac:dyDescent="0.55000000000000004">
      <c r="A795" s="6"/>
    </row>
    <row r="796" spans="1:1" x14ac:dyDescent="0.55000000000000004">
      <c r="A796" s="6"/>
    </row>
    <row r="797" spans="1:1" x14ac:dyDescent="0.55000000000000004">
      <c r="A797" s="6"/>
    </row>
    <row r="798" spans="1:1" x14ac:dyDescent="0.55000000000000004">
      <c r="A798" s="6"/>
    </row>
    <row r="799" spans="1:1" x14ac:dyDescent="0.55000000000000004">
      <c r="A799" s="6"/>
    </row>
    <row r="800" spans="1:1" x14ac:dyDescent="0.55000000000000004">
      <c r="A800" s="6"/>
    </row>
    <row r="801" spans="1:1" x14ac:dyDescent="0.55000000000000004">
      <c r="A801" s="6"/>
    </row>
    <row r="802" spans="1:1" x14ac:dyDescent="0.55000000000000004">
      <c r="A802" s="6"/>
    </row>
    <row r="803" spans="1:1" x14ac:dyDescent="0.55000000000000004">
      <c r="A803" s="6"/>
    </row>
    <row r="804" spans="1:1" x14ac:dyDescent="0.55000000000000004">
      <c r="A804" s="6"/>
    </row>
    <row r="805" spans="1:1" x14ac:dyDescent="0.55000000000000004">
      <c r="A805" s="6"/>
    </row>
    <row r="806" spans="1:1" x14ac:dyDescent="0.55000000000000004">
      <c r="A806" s="6"/>
    </row>
    <row r="807" spans="1:1" x14ac:dyDescent="0.55000000000000004">
      <c r="A807" s="6"/>
    </row>
    <row r="808" spans="1:1" x14ac:dyDescent="0.55000000000000004">
      <c r="A808" s="6"/>
    </row>
    <row r="809" spans="1:1" x14ac:dyDescent="0.55000000000000004">
      <c r="A809" s="6"/>
    </row>
    <row r="810" spans="1:1" x14ac:dyDescent="0.55000000000000004">
      <c r="A810" s="6"/>
    </row>
    <row r="811" spans="1:1" x14ac:dyDescent="0.55000000000000004">
      <c r="A811" s="6"/>
    </row>
    <row r="812" spans="1:1" x14ac:dyDescent="0.55000000000000004">
      <c r="A812" s="6"/>
    </row>
    <row r="813" spans="1:1" x14ac:dyDescent="0.55000000000000004">
      <c r="A813" s="6"/>
    </row>
    <row r="814" spans="1:1" x14ac:dyDescent="0.55000000000000004">
      <c r="A814" s="6"/>
    </row>
    <row r="815" spans="1:1" x14ac:dyDescent="0.55000000000000004">
      <c r="A815" s="6"/>
    </row>
    <row r="816" spans="1:1" x14ac:dyDescent="0.55000000000000004">
      <c r="A816" s="6"/>
    </row>
    <row r="817" spans="1:1" x14ac:dyDescent="0.55000000000000004">
      <c r="A817" s="6"/>
    </row>
    <row r="818" spans="1:1" x14ac:dyDescent="0.55000000000000004">
      <c r="A818" s="6"/>
    </row>
    <row r="819" spans="1:1" x14ac:dyDescent="0.55000000000000004">
      <c r="A819" s="6"/>
    </row>
    <row r="820" spans="1:1" x14ac:dyDescent="0.55000000000000004">
      <c r="A820" s="6"/>
    </row>
    <row r="821" spans="1:1" x14ac:dyDescent="0.55000000000000004">
      <c r="A821" s="6"/>
    </row>
    <row r="822" spans="1:1" x14ac:dyDescent="0.55000000000000004">
      <c r="A822" s="6"/>
    </row>
    <row r="823" spans="1:1" x14ac:dyDescent="0.55000000000000004">
      <c r="A823" s="6"/>
    </row>
    <row r="824" spans="1:1" x14ac:dyDescent="0.55000000000000004">
      <c r="A824" s="6"/>
    </row>
    <row r="825" spans="1:1" x14ac:dyDescent="0.55000000000000004">
      <c r="A825" s="6"/>
    </row>
    <row r="826" spans="1:1" x14ac:dyDescent="0.55000000000000004">
      <c r="A826" s="6"/>
    </row>
    <row r="827" spans="1:1" x14ac:dyDescent="0.55000000000000004">
      <c r="A827" s="6"/>
    </row>
    <row r="828" spans="1:1" x14ac:dyDescent="0.55000000000000004">
      <c r="A828" s="6"/>
    </row>
    <row r="829" spans="1:1" x14ac:dyDescent="0.55000000000000004">
      <c r="A829" s="6"/>
    </row>
    <row r="830" spans="1:1" x14ac:dyDescent="0.55000000000000004">
      <c r="A830" s="6"/>
    </row>
    <row r="831" spans="1:1" x14ac:dyDescent="0.55000000000000004">
      <c r="A831" s="6"/>
    </row>
    <row r="832" spans="1:1" x14ac:dyDescent="0.55000000000000004">
      <c r="A832" s="6"/>
    </row>
    <row r="833" spans="1:1" x14ac:dyDescent="0.55000000000000004">
      <c r="A833" s="6"/>
    </row>
    <row r="834" spans="1:1" x14ac:dyDescent="0.55000000000000004">
      <c r="A834" s="6"/>
    </row>
    <row r="835" spans="1:1" x14ac:dyDescent="0.55000000000000004">
      <c r="A835" s="6"/>
    </row>
    <row r="836" spans="1:1" x14ac:dyDescent="0.55000000000000004">
      <c r="A836" s="6"/>
    </row>
    <row r="837" spans="1:1" x14ac:dyDescent="0.55000000000000004">
      <c r="A837" s="6"/>
    </row>
    <row r="838" spans="1:1" x14ac:dyDescent="0.55000000000000004">
      <c r="A838" s="6"/>
    </row>
    <row r="839" spans="1:1" x14ac:dyDescent="0.55000000000000004">
      <c r="A839" s="6"/>
    </row>
    <row r="840" spans="1:1" x14ac:dyDescent="0.55000000000000004">
      <c r="A840" s="6"/>
    </row>
    <row r="841" spans="1:1" x14ac:dyDescent="0.55000000000000004">
      <c r="A841" s="6"/>
    </row>
    <row r="842" spans="1:1" x14ac:dyDescent="0.55000000000000004">
      <c r="A842" s="6"/>
    </row>
    <row r="843" spans="1:1" x14ac:dyDescent="0.55000000000000004">
      <c r="A843" s="6"/>
    </row>
    <row r="844" spans="1:1" x14ac:dyDescent="0.55000000000000004">
      <c r="A844" s="6"/>
    </row>
    <row r="845" spans="1:1" x14ac:dyDescent="0.55000000000000004">
      <c r="A845" s="6"/>
    </row>
    <row r="846" spans="1:1" x14ac:dyDescent="0.55000000000000004">
      <c r="A846" s="6"/>
    </row>
    <row r="847" spans="1:1" x14ac:dyDescent="0.55000000000000004">
      <c r="A847" s="6"/>
    </row>
    <row r="848" spans="1:1" x14ac:dyDescent="0.55000000000000004">
      <c r="A848" s="6"/>
    </row>
    <row r="849" spans="1:1" x14ac:dyDescent="0.55000000000000004">
      <c r="A849" s="6"/>
    </row>
    <row r="850" spans="1:1" x14ac:dyDescent="0.55000000000000004">
      <c r="A850" s="6"/>
    </row>
    <row r="851" spans="1:1" x14ac:dyDescent="0.55000000000000004">
      <c r="A851" s="6"/>
    </row>
    <row r="852" spans="1:1" x14ac:dyDescent="0.55000000000000004">
      <c r="A852" s="6"/>
    </row>
    <row r="853" spans="1:1" x14ac:dyDescent="0.55000000000000004">
      <c r="A853" s="6"/>
    </row>
    <row r="854" spans="1:1" x14ac:dyDescent="0.55000000000000004">
      <c r="A854" s="6"/>
    </row>
    <row r="855" spans="1:1" x14ac:dyDescent="0.55000000000000004">
      <c r="A855" s="6"/>
    </row>
    <row r="856" spans="1:1" x14ac:dyDescent="0.55000000000000004">
      <c r="A856" s="6"/>
    </row>
    <row r="857" spans="1:1" x14ac:dyDescent="0.55000000000000004">
      <c r="A857" s="6"/>
    </row>
    <row r="858" spans="1:1" x14ac:dyDescent="0.55000000000000004">
      <c r="A858" s="6"/>
    </row>
    <row r="859" spans="1:1" x14ac:dyDescent="0.55000000000000004">
      <c r="A859" s="6"/>
    </row>
    <row r="860" spans="1:1" x14ac:dyDescent="0.55000000000000004">
      <c r="A860" s="6"/>
    </row>
    <row r="861" spans="1:1" x14ac:dyDescent="0.55000000000000004">
      <c r="A861" s="6"/>
    </row>
    <row r="862" spans="1:1" x14ac:dyDescent="0.55000000000000004">
      <c r="A862" s="6"/>
    </row>
    <row r="863" spans="1:1" x14ac:dyDescent="0.55000000000000004">
      <c r="A863" s="6"/>
    </row>
    <row r="864" spans="1:1" x14ac:dyDescent="0.55000000000000004">
      <c r="A864" s="6"/>
    </row>
    <row r="865" spans="1:1" x14ac:dyDescent="0.55000000000000004">
      <c r="A865" s="6"/>
    </row>
    <row r="866" spans="1:1" x14ac:dyDescent="0.55000000000000004">
      <c r="A866" s="6"/>
    </row>
    <row r="867" spans="1:1" x14ac:dyDescent="0.55000000000000004">
      <c r="A867" s="6"/>
    </row>
    <row r="868" spans="1:1" x14ac:dyDescent="0.55000000000000004">
      <c r="A868" s="6"/>
    </row>
    <row r="869" spans="1:1" x14ac:dyDescent="0.55000000000000004">
      <c r="A869" s="6"/>
    </row>
    <row r="870" spans="1:1" x14ac:dyDescent="0.55000000000000004">
      <c r="A870" s="6"/>
    </row>
    <row r="871" spans="1:1" x14ac:dyDescent="0.55000000000000004">
      <c r="A871" s="6"/>
    </row>
    <row r="872" spans="1:1" x14ac:dyDescent="0.55000000000000004">
      <c r="A872" s="6"/>
    </row>
    <row r="873" spans="1:1" x14ac:dyDescent="0.55000000000000004">
      <c r="A873" s="6"/>
    </row>
    <row r="874" spans="1:1" x14ac:dyDescent="0.55000000000000004">
      <c r="A874" s="6"/>
    </row>
    <row r="875" spans="1:1" x14ac:dyDescent="0.55000000000000004">
      <c r="A875" s="6"/>
    </row>
    <row r="876" spans="1:1" x14ac:dyDescent="0.55000000000000004">
      <c r="A876" s="6"/>
    </row>
    <row r="877" spans="1:1" x14ac:dyDescent="0.55000000000000004">
      <c r="A877" s="6"/>
    </row>
    <row r="878" spans="1:1" x14ac:dyDescent="0.55000000000000004">
      <c r="A878" s="6"/>
    </row>
    <row r="879" spans="1:1" x14ac:dyDescent="0.55000000000000004">
      <c r="A879" s="6"/>
    </row>
    <row r="880" spans="1:1" x14ac:dyDescent="0.55000000000000004">
      <c r="A880" s="6"/>
    </row>
    <row r="881" spans="1:1" x14ac:dyDescent="0.55000000000000004">
      <c r="A881" s="6"/>
    </row>
    <row r="882" spans="1:1" x14ac:dyDescent="0.55000000000000004">
      <c r="A882" s="6"/>
    </row>
    <row r="883" spans="1:1" x14ac:dyDescent="0.55000000000000004">
      <c r="A883" s="6"/>
    </row>
    <row r="884" spans="1:1" x14ac:dyDescent="0.55000000000000004">
      <c r="A884" s="6"/>
    </row>
    <row r="885" spans="1:1" x14ac:dyDescent="0.55000000000000004">
      <c r="A885" s="6"/>
    </row>
    <row r="886" spans="1:1" x14ac:dyDescent="0.55000000000000004">
      <c r="A886" s="6"/>
    </row>
    <row r="887" spans="1:1" x14ac:dyDescent="0.55000000000000004">
      <c r="A887" s="6"/>
    </row>
    <row r="888" spans="1:1" x14ac:dyDescent="0.55000000000000004">
      <c r="A888" s="6"/>
    </row>
    <row r="889" spans="1:1" x14ac:dyDescent="0.55000000000000004">
      <c r="A889" s="6"/>
    </row>
    <row r="890" spans="1:1" x14ac:dyDescent="0.55000000000000004">
      <c r="A890" s="6"/>
    </row>
    <row r="891" spans="1:1" x14ac:dyDescent="0.55000000000000004">
      <c r="A891" s="6"/>
    </row>
    <row r="892" spans="1:1" x14ac:dyDescent="0.55000000000000004">
      <c r="A892" s="6"/>
    </row>
    <row r="893" spans="1:1" x14ac:dyDescent="0.55000000000000004">
      <c r="A893" s="6"/>
    </row>
    <row r="894" spans="1:1" x14ac:dyDescent="0.55000000000000004">
      <c r="A894" s="6"/>
    </row>
    <row r="895" spans="1:1" x14ac:dyDescent="0.55000000000000004">
      <c r="A895" s="6"/>
    </row>
    <row r="896" spans="1:1" x14ac:dyDescent="0.55000000000000004">
      <c r="A896" s="6"/>
    </row>
    <row r="897" spans="1:1" x14ac:dyDescent="0.55000000000000004">
      <c r="A897" s="6"/>
    </row>
    <row r="898" spans="1:1" x14ac:dyDescent="0.55000000000000004">
      <c r="A898" s="6"/>
    </row>
    <row r="899" spans="1:1" x14ac:dyDescent="0.55000000000000004">
      <c r="A899" s="6"/>
    </row>
    <row r="900" spans="1:1" x14ac:dyDescent="0.55000000000000004">
      <c r="A900" s="6"/>
    </row>
    <row r="901" spans="1:1" x14ac:dyDescent="0.55000000000000004">
      <c r="A901" s="6"/>
    </row>
    <row r="902" spans="1:1" x14ac:dyDescent="0.55000000000000004">
      <c r="A902" s="6"/>
    </row>
    <row r="903" spans="1:1" x14ac:dyDescent="0.55000000000000004">
      <c r="A903" s="6"/>
    </row>
    <row r="904" spans="1:1" x14ac:dyDescent="0.55000000000000004">
      <c r="A904" s="6"/>
    </row>
  </sheetData>
  <autoFilter ref="A1:G286" xr:uid="{00000000-0009-0000-0000-00000D000000}"/>
  <pageMargins left="0.7" right="0.7" top="1.3149999999999999" bottom="0.75" header="0.3" footer="0.3"/>
  <pageSetup paperSize="9" scale="95" orientation="portrait"/>
  <headerFooter>
    <oddHeader>&amp;L&amp;"Calibri"&amp;12&amp;K03C03C Openbaar-Public&amp;1#_x000D_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72"/>
  <sheetViews>
    <sheetView workbookViewId="0">
      <selection activeCell="H21" sqref="H21"/>
    </sheetView>
  </sheetViews>
  <sheetFormatPr defaultColWidth="8.83984375" defaultRowHeight="14.4" x14ac:dyDescent="0.55000000000000004"/>
  <cols>
    <col min="1" max="1" width="19.15625" bestFit="1" customWidth="1"/>
    <col min="2" max="2" width="10.41796875" bestFit="1" customWidth="1"/>
    <col min="4" max="5" width="19.15625" bestFit="1" customWidth="1"/>
    <col min="6" max="6" width="12" bestFit="1" customWidth="1"/>
    <col min="8" max="8" width="19.15625" bestFit="1" customWidth="1"/>
    <col min="9" max="9" width="21.41796875" bestFit="1" customWidth="1"/>
    <col min="10" max="10" width="18.68359375" bestFit="1" customWidth="1"/>
    <col min="11" max="11" width="18.26171875" bestFit="1" customWidth="1"/>
    <col min="12" max="12" width="19.15625" bestFit="1" customWidth="1"/>
    <col min="13" max="13" width="21.41796875" bestFit="1" customWidth="1"/>
    <col min="14" max="14" width="19.41796875" bestFit="1" customWidth="1"/>
    <col min="15" max="15" width="18.26171875" bestFit="1" customWidth="1"/>
    <col min="16" max="16" width="19.15625" bestFit="1" customWidth="1"/>
    <col min="17" max="17" width="21.41796875" bestFit="1" customWidth="1"/>
    <col min="18" max="18" width="19.41796875" bestFit="1" customWidth="1"/>
    <col min="19" max="19" width="18.26171875" bestFit="1" customWidth="1"/>
    <col min="20" max="20" width="19.15625" bestFit="1" customWidth="1"/>
    <col min="21" max="21" width="21.41796875" bestFit="1" customWidth="1"/>
    <col min="22" max="22" width="19.41796875" bestFit="1" customWidth="1"/>
    <col min="23" max="23" width="18.26171875" bestFit="1" customWidth="1"/>
    <col min="24" max="24" width="21.41796875" bestFit="1" customWidth="1"/>
  </cols>
  <sheetData>
    <row r="1" spans="1:24" x14ac:dyDescent="0.55000000000000004">
      <c r="A1" s="19" t="s">
        <v>10</v>
      </c>
      <c r="B1" s="19"/>
      <c r="C1" s="19"/>
      <c r="D1" s="19"/>
      <c r="E1" s="20" t="s">
        <v>11</v>
      </c>
      <c r="F1" s="20"/>
      <c r="G1" s="20"/>
      <c r="H1" s="20"/>
      <c r="I1" s="21" t="s">
        <v>12</v>
      </c>
      <c r="J1" s="22"/>
      <c r="K1" s="22"/>
      <c r="L1" s="22"/>
      <c r="M1" s="17" t="s">
        <v>13</v>
      </c>
      <c r="N1" s="18"/>
      <c r="O1" s="18"/>
      <c r="P1" s="18"/>
      <c r="Q1" s="21" t="s">
        <v>14</v>
      </c>
      <c r="R1" s="22"/>
      <c r="S1" s="22"/>
      <c r="T1" s="22"/>
      <c r="U1" s="17" t="s">
        <v>15</v>
      </c>
      <c r="V1" s="18"/>
      <c r="W1" s="18"/>
      <c r="X1" s="18"/>
    </row>
    <row r="2" spans="1:24" x14ac:dyDescent="0.55000000000000004">
      <c r="A2" s="7" t="s">
        <v>16</v>
      </c>
      <c r="B2" s="7" t="s">
        <v>17</v>
      </c>
      <c r="C2" s="7" t="s">
        <v>18</v>
      </c>
      <c r="D2" s="7" t="s">
        <v>19</v>
      </c>
      <c r="E2" s="8" t="s">
        <v>16</v>
      </c>
      <c r="F2" s="8" t="s">
        <v>17</v>
      </c>
      <c r="G2" s="8" t="s">
        <v>18</v>
      </c>
      <c r="H2" s="8" t="s">
        <v>19</v>
      </c>
      <c r="I2" s="7" t="s">
        <v>16</v>
      </c>
      <c r="J2" s="7" t="s">
        <v>17</v>
      </c>
      <c r="K2" s="7" t="s">
        <v>20</v>
      </c>
      <c r="L2" s="7" t="s">
        <v>19</v>
      </c>
      <c r="M2" s="8" t="s">
        <v>16</v>
      </c>
      <c r="N2" s="8" t="s">
        <v>17</v>
      </c>
      <c r="O2" s="8" t="s">
        <v>20</v>
      </c>
      <c r="P2" s="8" t="s">
        <v>19</v>
      </c>
      <c r="Q2" s="7" t="s">
        <v>16</v>
      </c>
      <c r="R2" s="7" t="s">
        <v>17</v>
      </c>
      <c r="S2" s="7" t="s">
        <v>20</v>
      </c>
      <c r="T2" s="7" t="s">
        <v>19</v>
      </c>
      <c r="U2" s="8" t="s">
        <v>16</v>
      </c>
      <c r="V2" s="8" t="s">
        <v>17</v>
      </c>
      <c r="W2" s="8" t="s">
        <v>20</v>
      </c>
      <c r="X2" s="8" t="s">
        <v>19</v>
      </c>
    </row>
    <row r="3" spans="1:24" s="12" customFormat="1" x14ac:dyDescent="0.55000000000000004">
      <c r="A3" s="12" t="s">
        <v>21</v>
      </c>
      <c r="B3" s="12">
        <f>SUM(B4:B1048576)</f>
        <v>611.05299999999977</v>
      </c>
      <c r="F3" s="12">
        <f>SUM(F4:F1048576)</f>
        <v>60.970100000000009</v>
      </c>
      <c r="J3" s="12">
        <f>SUM(J4:J1048576)</f>
        <v>1816.0440000000001</v>
      </c>
      <c r="K3" s="13"/>
      <c r="N3" s="12">
        <f>SUM(N4:N1048576)</f>
        <v>181.87299999999999</v>
      </c>
      <c r="O3" s="13"/>
      <c r="R3" s="12">
        <f>SUM(R4:R1048576)</f>
        <v>1750</v>
      </c>
      <c r="S3" s="13"/>
      <c r="V3" s="12">
        <f>SUM(V4:V1048576)</f>
        <v>1693.7659999999998</v>
      </c>
      <c r="W3" s="13"/>
    </row>
    <row r="4" spans="1:24" x14ac:dyDescent="0.55000000000000004">
      <c r="A4" s="5">
        <v>43112.309027777781</v>
      </c>
      <c r="B4" s="2">
        <v>8.7799999999999994</v>
      </c>
      <c r="C4" s="4" t="s">
        <v>22</v>
      </c>
      <c r="D4" s="5">
        <v>43112.395833333336</v>
      </c>
      <c r="E4" s="9">
        <v>43112.344444444447</v>
      </c>
      <c r="F4" s="10">
        <v>2.6930000000000001</v>
      </c>
      <c r="G4" s="10" t="s">
        <v>23</v>
      </c>
      <c r="H4" s="9">
        <v>43112.479166666664</v>
      </c>
      <c r="I4" s="5">
        <v>43112.311805555553</v>
      </c>
      <c r="J4" s="2">
        <v>75</v>
      </c>
      <c r="K4" s="2">
        <v>162</v>
      </c>
      <c r="L4" s="5">
        <v>43112.552083333336</v>
      </c>
      <c r="M4" s="9">
        <v>43112.311805555553</v>
      </c>
      <c r="N4" s="10">
        <v>41.76</v>
      </c>
      <c r="O4" s="10">
        <v>21928</v>
      </c>
      <c r="P4" s="9">
        <v>43113.385416666664</v>
      </c>
      <c r="Q4" s="5">
        <v>43112.315972222219</v>
      </c>
      <c r="R4" s="2">
        <v>50</v>
      </c>
      <c r="S4" s="2">
        <v>20826</v>
      </c>
      <c r="T4" s="5">
        <v>43112.479166666664</v>
      </c>
      <c r="U4" s="9">
        <v>43112.3125</v>
      </c>
      <c r="V4" s="10">
        <v>50</v>
      </c>
      <c r="W4" s="10">
        <v>20649</v>
      </c>
      <c r="X4" s="9">
        <v>43112.479166666664</v>
      </c>
    </row>
    <row r="5" spans="1:24" x14ac:dyDescent="0.55000000000000004">
      <c r="A5" s="5">
        <v>43112.401388888888</v>
      </c>
      <c r="B5" s="2">
        <v>8.9</v>
      </c>
      <c r="C5" s="4" t="s">
        <v>22</v>
      </c>
      <c r="D5" s="5">
        <v>43112.465277777781</v>
      </c>
      <c r="E5" s="9">
        <v>43112.458333333336</v>
      </c>
      <c r="F5" s="10">
        <f>0.797+0.971</f>
        <v>1.768</v>
      </c>
      <c r="G5" s="10" t="s">
        <v>23</v>
      </c>
      <c r="H5" s="9">
        <v>43112.5625</v>
      </c>
      <c r="I5" s="5">
        <v>43112.543055555558</v>
      </c>
      <c r="J5" s="2">
        <v>75</v>
      </c>
      <c r="K5" s="2">
        <v>179</v>
      </c>
      <c r="L5" s="5">
        <v>43112.552083333336</v>
      </c>
      <c r="M5" s="9">
        <v>43112.905555555553</v>
      </c>
      <c r="N5" s="10">
        <v>50</v>
      </c>
      <c r="O5" s="10">
        <v>21929</v>
      </c>
      <c r="P5" s="9">
        <v>43113.5</v>
      </c>
      <c r="Q5" s="5">
        <v>43112.474999999999</v>
      </c>
      <c r="R5" s="2">
        <v>50</v>
      </c>
      <c r="S5" s="2">
        <v>20869</v>
      </c>
      <c r="T5" s="5">
        <v>43112.625</v>
      </c>
      <c r="U5" s="9">
        <v>43112.482638888891</v>
      </c>
      <c r="V5" s="10">
        <v>50</v>
      </c>
      <c r="W5" s="10">
        <v>20636</v>
      </c>
      <c r="X5" s="9">
        <v>43112.625</v>
      </c>
    </row>
    <row r="6" spans="1:24" x14ac:dyDescent="0.55000000000000004">
      <c r="A6" s="5">
        <v>43112.472222222219</v>
      </c>
      <c r="B6" s="2">
        <v>7.42</v>
      </c>
      <c r="C6" s="4" t="s">
        <v>22</v>
      </c>
      <c r="D6" s="5">
        <v>43112.576388888891</v>
      </c>
      <c r="E6" s="9">
        <v>43112.570833333331</v>
      </c>
      <c r="F6" s="10">
        <f>0.788+0.767</f>
        <v>1.5550000000000002</v>
      </c>
      <c r="G6" s="10" t="s">
        <v>23</v>
      </c>
      <c r="H6" s="9">
        <v>43112.6875</v>
      </c>
      <c r="I6" s="5">
        <v>43112.745833333334</v>
      </c>
      <c r="J6" s="2">
        <v>75</v>
      </c>
      <c r="K6" s="2">
        <v>192</v>
      </c>
      <c r="L6" s="5">
        <v>43113.052083333336</v>
      </c>
      <c r="M6" s="9">
        <v>43114.697222222225</v>
      </c>
      <c r="N6" s="10">
        <v>50</v>
      </c>
      <c r="O6" s="10">
        <v>21931</v>
      </c>
      <c r="P6" s="9">
        <v>43115.5</v>
      </c>
      <c r="Q6" s="5">
        <v>43112.618055555555</v>
      </c>
      <c r="R6" s="2">
        <v>50</v>
      </c>
      <c r="S6" s="2">
        <v>20633</v>
      </c>
      <c r="T6" s="5">
        <v>43112.784722222219</v>
      </c>
      <c r="U6" s="9">
        <v>43112.623611111114</v>
      </c>
      <c r="V6" s="10">
        <v>50</v>
      </c>
      <c r="W6" s="10">
        <v>20634</v>
      </c>
      <c r="X6" s="9">
        <v>43112.769444444442</v>
      </c>
    </row>
    <row r="7" spans="1:24" x14ac:dyDescent="0.55000000000000004">
      <c r="A7" s="5">
        <v>43112.533333333333</v>
      </c>
      <c r="B7" s="2">
        <v>9.92</v>
      </c>
      <c r="C7" s="4" t="s">
        <v>24</v>
      </c>
      <c r="D7" s="5">
        <v>43112.652777777781</v>
      </c>
      <c r="E7" s="9">
        <v>43112.6875</v>
      </c>
      <c r="F7" s="10">
        <v>0.75</v>
      </c>
      <c r="G7" s="10" t="s">
        <v>23</v>
      </c>
      <c r="H7" s="9">
        <v>43112.8125</v>
      </c>
      <c r="I7" s="5">
        <v>43113.085416666669</v>
      </c>
      <c r="J7" s="2">
        <v>75</v>
      </c>
      <c r="K7" s="2">
        <v>180</v>
      </c>
      <c r="L7" s="5">
        <v>43113.302083333336</v>
      </c>
      <c r="M7" s="9">
        <v>43115.856944444444</v>
      </c>
      <c r="N7" s="10">
        <f>50-9.887</f>
        <v>40.113</v>
      </c>
      <c r="O7" s="10">
        <v>21927</v>
      </c>
      <c r="P7" s="9" t="s">
        <v>25</v>
      </c>
      <c r="Q7" s="5">
        <v>43112.761805555558</v>
      </c>
      <c r="R7" s="2">
        <v>50</v>
      </c>
      <c r="S7" s="2">
        <v>20697</v>
      </c>
      <c r="T7" s="5">
        <v>43112.928472222222</v>
      </c>
      <c r="U7" s="9">
        <v>43112.759027777778</v>
      </c>
      <c r="V7" s="10">
        <v>50</v>
      </c>
      <c r="W7" s="10">
        <v>20631</v>
      </c>
      <c r="X7" s="9">
        <v>43112.904861111114</v>
      </c>
    </row>
    <row r="8" spans="1:24" x14ac:dyDescent="0.55000000000000004">
      <c r="A8" s="5">
        <v>43112.621527777781</v>
      </c>
      <c r="B8" s="2">
        <v>11.34</v>
      </c>
      <c r="C8" s="4" t="s">
        <v>24</v>
      </c>
      <c r="D8" s="5">
        <v>43112.708333333336</v>
      </c>
      <c r="E8" s="9">
        <v>43112.886805555558</v>
      </c>
      <c r="F8" s="10">
        <f>0.656+0.732</f>
        <v>1.3879999999999999</v>
      </c>
      <c r="G8" s="10" t="s">
        <v>23</v>
      </c>
      <c r="H8" s="9">
        <v>43112.951388888891</v>
      </c>
      <c r="I8" s="5">
        <v>43113.338888888888</v>
      </c>
      <c r="J8" s="2">
        <v>75</v>
      </c>
      <c r="K8" s="2">
        <v>177</v>
      </c>
      <c r="L8" s="5">
        <v>43113.59375</v>
      </c>
      <c r="M8" s="11"/>
      <c r="N8" s="11"/>
      <c r="O8" s="11"/>
      <c r="P8" s="11"/>
      <c r="Q8" s="5">
        <v>43113.013194444444</v>
      </c>
      <c r="R8" s="2">
        <v>50</v>
      </c>
      <c r="S8" s="2">
        <v>20632</v>
      </c>
      <c r="T8" s="5">
        <v>43113.179861111108</v>
      </c>
      <c r="U8" s="9">
        <v>43113.018750000003</v>
      </c>
      <c r="V8" s="10">
        <v>50</v>
      </c>
      <c r="W8" s="10">
        <v>20591</v>
      </c>
      <c r="X8" s="9">
        <v>43113.166666666664</v>
      </c>
    </row>
    <row r="9" spans="1:24" x14ac:dyDescent="0.55000000000000004">
      <c r="A9" s="5">
        <v>43112</v>
      </c>
      <c r="B9" s="2">
        <v>11.12</v>
      </c>
      <c r="C9" s="4" t="s">
        <v>24</v>
      </c>
      <c r="D9" s="2" t="s">
        <v>26</v>
      </c>
      <c r="E9" s="9">
        <v>43112.974305555559</v>
      </c>
      <c r="F9" s="10">
        <v>1</v>
      </c>
      <c r="G9" s="10" t="s">
        <v>23</v>
      </c>
      <c r="H9" s="9">
        <v>43113.041666666664</v>
      </c>
      <c r="I9" s="5">
        <v>43113.601388888892</v>
      </c>
      <c r="J9" s="2">
        <v>75</v>
      </c>
      <c r="K9" s="2">
        <v>198</v>
      </c>
      <c r="L9" s="5">
        <v>43113.822916666664</v>
      </c>
      <c r="M9" s="11"/>
      <c r="N9" s="11"/>
      <c r="O9" s="11"/>
      <c r="P9" s="11"/>
      <c r="Q9" s="5">
        <v>43113.236111111109</v>
      </c>
      <c r="R9" s="2">
        <v>50</v>
      </c>
      <c r="S9" s="2">
        <v>20593</v>
      </c>
      <c r="T9" s="5">
        <v>43113.319444444445</v>
      </c>
      <c r="U9" s="9">
        <v>43113.237500000003</v>
      </c>
      <c r="V9" s="10">
        <v>50</v>
      </c>
      <c r="W9" s="10">
        <v>20592</v>
      </c>
      <c r="X9" s="9">
        <v>43113.385416666664</v>
      </c>
    </row>
    <row r="10" spans="1:24" x14ac:dyDescent="0.55000000000000004">
      <c r="A10" s="5">
        <v>43112.870138888888</v>
      </c>
      <c r="B10" s="2">
        <v>10.24</v>
      </c>
      <c r="C10" s="4" t="s">
        <v>24</v>
      </c>
      <c r="D10" s="5">
        <v>43112.958333333336</v>
      </c>
      <c r="E10" s="9">
        <v>43113.07916666667</v>
      </c>
      <c r="F10" s="10">
        <v>1.1200000000000001</v>
      </c>
      <c r="G10" s="10" t="s">
        <v>23</v>
      </c>
      <c r="H10" s="9">
        <v>43113.25</v>
      </c>
      <c r="I10" s="5">
        <v>43113.80972222222</v>
      </c>
      <c r="J10" s="2">
        <v>75</v>
      </c>
      <c r="K10" s="2">
        <v>199</v>
      </c>
      <c r="L10" s="5">
        <v>43113.979166666664</v>
      </c>
      <c r="M10" s="11"/>
      <c r="N10" s="11"/>
      <c r="O10" s="11"/>
      <c r="P10" s="11"/>
      <c r="Q10" s="5">
        <v>43113.340277777781</v>
      </c>
      <c r="R10" s="2">
        <v>50</v>
      </c>
      <c r="S10" s="2">
        <v>20648</v>
      </c>
      <c r="T10" s="5">
        <v>43113.527777777781</v>
      </c>
      <c r="U10" s="9">
        <v>43113.397916666669</v>
      </c>
      <c r="V10" s="10">
        <v>50</v>
      </c>
      <c r="W10" s="10">
        <v>20642</v>
      </c>
      <c r="X10" s="9">
        <v>43113.545138888891</v>
      </c>
    </row>
    <row r="11" spans="1:24" x14ac:dyDescent="0.55000000000000004">
      <c r="A11" s="5">
        <v>43112.958333333336</v>
      </c>
      <c r="B11" s="2">
        <v>7.72</v>
      </c>
      <c r="C11" s="4" t="s">
        <v>24</v>
      </c>
      <c r="D11" s="5">
        <v>43113.03125</v>
      </c>
      <c r="E11" s="9">
        <v>43113.239583333336</v>
      </c>
      <c r="F11" s="10">
        <v>0.9</v>
      </c>
      <c r="G11" s="10" t="s">
        <v>23</v>
      </c>
      <c r="H11" s="9">
        <v>43113.416666666664</v>
      </c>
      <c r="I11" s="5">
        <v>43114.056250000001</v>
      </c>
      <c r="J11" s="2">
        <v>75</v>
      </c>
      <c r="K11" s="2">
        <v>82</v>
      </c>
      <c r="L11" s="5">
        <v>43114.270833333336</v>
      </c>
      <c r="M11" s="11"/>
      <c r="N11" s="11"/>
      <c r="O11" s="11"/>
      <c r="P11" s="11"/>
      <c r="Q11" s="5">
        <v>43113.534722222219</v>
      </c>
      <c r="R11" s="2">
        <v>50</v>
      </c>
      <c r="S11" s="2">
        <v>20594</v>
      </c>
      <c r="T11" s="5">
        <v>43113.680555555555</v>
      </c>
      <c r="U11" s="9">
        <v>43113.552083333336</v>
      </c>
      <c r="V11" s="10">
        <v>50</v>
      </c>
      <c r="W11" s="10">
        <v>20775</v>
      </c>
      <c r="X11" s="9">
        <v>43113.697916666664</v>
      </c>
    </row>
    <row r="12" spans="1:24" x14ac:dyDescent="0.55000000000000004">
      <c r="A12" s="5">
        <v>43113.034722222219</v>
      </c>
      <c r="B12" s="2">
        <v>12.02</v>
      </c>
      <c r="C12" s="4" t="s">
        <v>27</v>
      </c>
      <c r="D12" s="5">
        <v>43113.131944444445</v>
      </c>
      <c r="E12" s="9">
        <v>43113.44027777778</v>
      </c>
      <c r="F12" s="10">
        <v>1</v>
      </c>
      <c r="G12" s="10" t="s">
        <v>23</v>
      </c>
      <c r="H12" s="9">
        <v>43113.520833333336</v>
      </c>
      <c r="I12" s="5">
        <v>43114.277777777781</v>
      </c>
      <c r="J12" s="2">
        <v>75</v>
      </c>
      <c r="K12" s="2">
        <v>197</v>
      </c>
      <c r="L12" s="5">
        <v>43114.493055555555</v>
      </c>
      <c r="M12" s="11"/>
      <c r="N12" s="11"/>
      <c r="O12" s="11"/>
      <c r="P12" s="11"/>
      <c r="Q12" s="5">
        <v>43113.677083333336</v>
      </c>
      <c r="R12" s="2">
        <v>50</v>
      </c>
      <c r="S12" s="2">
        <v>20824</v>
      </c>
      <c r="T12" s="5">
        <v>43113.822916666664</v>
      </c>
      <c r="U12" s="9">
        <v>43113.681944444441</v>
      </c>
      <c r="V12" s="10">
        <v>50</v>
      </c>
      <c r="W12" s="10">
        <v>20825</v>
      </c>
      <c r="X12" s="9">
        <v>43113.823611111111</v>
      </c>
    </row>
    <row r="13" spans="1:24" x14ac:dyDescent="0.55000000000000004">
      <c r="A13" s="5">
        <v>43113.138888888891</v>
      </c>
      <c r="B13" s="2">
        <v>12.45</v>
      </c>
      <c r="C13" s="4" t="s">
        <v>27</v>
      </c>
      <c r="D13" s="5">
        <v>43113.215277777781</v>
      </c>
      <c r="E13" s="9">
        <v>43113.020138888889</v>
      </c>
      <c r="F13" s="10">
        <v>1.08</v>
      </c>
      <c r="G13" s="10" t="s">
        <v>23</v>
      </c>
      <c r="H13" s="9">
        <v>43113.604166666664</v>
      </c>
      <c r="I13" s="5">
        <v>43114.496527777781</v>
      </c>
      <c r="J13" s="2">
        <v>75</v>
      </c>
      <c r="K13" s="2">
        <v>176</v>
      </c>
      <c r="L13" s="5">
        <v>43114.6875</v>
      </c>
      <c r="M13" s="11"/>
      <c r="N13" s="11"/>
      <c r="O13" s="11"/>
      <c r="P13" s="11"/>
      <c r="Q13" s="5">
        <v>43113.825694444444</v>
      </c>
      <c r="R13" s="2">
        <v>50</v>
      </c>
      <c r="S13" s="2">
        <v>20827</v>
      </c>
      <c r="T13" s="5">
        <v>43113.96875</v>
      </c>
      <c r="U13" s="9">
        <v>43113.82916666667</v>
      </c>
      <c r="V13" s="10">
        <v>50</v>
      </c>
      <c r="W13" s="10">
        <v>20823</v>
      </c>
      <c r="X13" s="9">
        <v>43113.958333333336</v>
      </c>
    </row>
    <row r="14" spans="1:24" x14ac:dyDescent="0.55000000000000004">
      <c r="A14" s="5">
        <v>43113.304861111108</v>
      </c>
      <c r="B14" s="2">
        <v>12.18</v>
      </c>
      <c r="C14" s="4" t="s">
        <v>27</v>
      </c>
      <c r="D14" s="5">
        <v>43113.402777777781</v>
      </c>
      <c r="E14" s="9">
        <v>43113.055555555555</v>
      </c>
      <c r="F14" s="10">
        <v>1.02</v>
      </c>
      <c r="G14" s="10" t="s">
        <v>23</v>
      </c>
      <c r="H14" s="9">
        <v>43113.6875</v>
      </c>
      <c r="I14" s="5">
        <v>43114.65625</v>
      </c>
      <c r="J14" s="2">
        <v>75</v>
      </c>
      <c r="K14" s="2">
        <v>200</v>
      </c>
      <c r="L14" s="5">
        <v>43114.822916666664</v>
      </c>
      <c r="Q14" s="5">
        <v>43113.99722222222</v>
      </c>
      <c r="R14" s="2">
        <v>50</v>
      </c>
      <c r="S14" s="2">
        <v>20679</v>
      </c>
      <c r="T14" s="5">
        <v>43114.145833333336</v>
      </c>
      <c r="U14" s="9">
        <v>43114</v>
      </c>
      <c r="V14" s="10">
        <v>50</v>
      </c>
      <c r="W14" s="10">
        <v>20621</v>
      </c>
      <c r="X14" s="9">
        <v>43114.149305555555</v>
      </c>
    </row>
    <row r="15" spans="1:24" x14ac:dyDescent="0.55000000000000004">
      <c r="A15" s="5">
        <v>43113.408333333333</v>
      </c>
      <c r="B15" s="2">
        <v>9.48</v>
      </c>
      <c r="C15" s="4" t="s">
        <v>28</v>
      </c>
      <c r="D15" s="5">
        <v>43113.472222222219</v>
      </c>
      <c r="E15" s="9">
        <v>43113.166666666664</v>
      </c>
      <c r="F15" s="10">
        <v>0.98</v>
      </c>
      <c r="G15" s="10" t="s">
        <v>23</v>
      </c>
      <c r="H15" s="9">
        <v>43113.75</v>
      </c>
      <c r="I15" s="5">
        <v>43114.86041666667</v>
      </c>
      <c r="J15" s="2">
        <v>75</v>
      </c>
      <c r="K15" s="2">
        <v>165</v>
      </c>
      <c r="L15" s="5">
        <v>43115.027083333334</v>
      </c>
      <c r="Q15" s="5">
        <v>43114.146527777775</v>
      </c>
      <c r="R15" s="2">
        <v>50</v>
      </c>
      <c r="S15" s="2">
        <v>20629</v>
      </c>
      <c r="T15" s="5">
        <v>43114.295138888891</v>
      </c>
      <c r="U15" s="9">
        <v>43114.161805555559</v>
      </c>
      <c r="V15" s="10">
        <v>50</v>
      </c>
      <c r="W15" s="10">
        <v>20709</v>
      </c>
      <c r="X15" s="9">
        <v>43114.319444444445</v>
      </c>
    </row>
    <row r="16" spans="1:24" x14ac:dyDescent="0.55000000000000004">
      <c r="A16" s="5">
        <v>43113.481249999997</v>
      </c>
      <c r="B16" s="2">
        <v>13.62</v>
      </c>
      <c r="C16" s="4" t="s">
        <v>27</v>
      </c>
      <c r="D16" s="5">
        <v>43113.583333333336</v>
      </c>
      <c r="E16" s="9">
        <v>43113.722916666666</v>
      </c>
      <c r="F16" s="10">
        <v>0.84599999999999997</v>
      </c>
      <c r="G16" s="10" t="s">
        <v>23</v>
      </c>
      <c r="H16" s="9">
        <v>43113.805555555555</v>
      </c>
      <c r="I16" s="5">
        <v>43114.86041666667</v>
      </c>
      <c r="J16" s="2">
        <v>75</v>
      </c>
      <c r="K16" s="2">
        <v>165</v>
      </c>
      <c r="L16" s="5">
        <v>43115.027083333334</v>
      </c>
      <c r="Q16" s="5">
        <v>43114.293749999997</v>
      </c>
      <c r="R16" s="2">
        <v>50</v>
      </c>
      <c r="S16" s="2">
        <v>20758</v>
      </c>
      <c r="T16" s="5">
        <v>43114.4375</v>
      </c>
      <c r="U16" s="9">
        <v>43114.298611111109</v>
      </c>
      <c r="V16" s="10">
        <v>50</v>
      </c>
      <c r="W16" s="10">
        <v>20673</v>
      </c>
      <c r="X16" s="9">
        <v>43114.440972222219</v>
      </c>
    </row>
    <row r="17" spans="1:24" x14ac:dyDescent="0.55000000000000004">
      <c r="A17" s="5">
        <v>43113.595138888886</v>
      </c>
      <c r="B17" s="2">
        <v>6.26</v>
      </c>
      <c r="C17" s="4" t="s">
        <v>28</v>
      </c>
      <c r="D17" s="5">
        <v>43113.645833333336</v>
      </c>
      <c r="E17" s="9">
        <v>43113.77847222222</v>
      </c>
      <c r="F17" s="10">
        <v>0.8</v>
      </c>
      <c r="G17" s="10" t="s">
        <v>29</v>
      </c>
      <c r="H17" s="9">
        <v>43113.875</v>
      </c>
      <c r="I17" s="5">
        <v>43115.086805555555</v>
      </c>
      <c r="J17" s="2">
        <v>75</v>
      </c>
      <c r="K17" s="2">
        <v>164</v>
      </c>
      <c r="L17" s="5">
        <v>43115.302083333336</v>
      </c>
      <c r="Q17" s="5">
        <v>43114.447916666664</v>
      </c>
      <c r="R17" s="2">
        <v>50</v>
      </c>
      <c r="S17" s="2">
        <v>20143</v>
      </c>
      <c r="T17" s="5">
        <v>43114.571527777778</v>
      </c>
      <c r="U17" s="9">
        <v>43114.458333333336</v>
      </c>
      <c r="V17" s="10">
        <v>50</v>
      </c>
      <c r="W17" s="10">
        <v>20646</v>
      </c>
      <c r="X17" s="9">
        <v>43114.583333333336</v>
      </c>
    </row>
    <row r="18" spans="1:24" x14ac:dyDescent="0.55000000000000004">
      <c r="A18" s="5">
        <v>43113.645138888889</v>
      </c>
      <c r="B18" s="2">
        <v>8.92</v>
      </c>
      <c r="C18" s="4" t="s">
        <v>28</v>
      </c>
      <c r="D18" s="5">
        <v>43113.739583333336</v>
      </c>
      <c r="E18" s="9">
        <v>43113.836805555555</v>
      </c>
      <c r="F18" s="10">
        <v>1.02</v>
      </c>
      <c r="G18" s="10" t="s">
        <v>23</v>
      </c>
      <c r="H18" s="9">
        <v>43113.920138888891</v>
      </c>
      <c r="I18" s="5">
        <v>43115.298611111109</v>
      </c>
      <c r="J18" s="2">
        <v>75</v>
      </c>
      <c r="K18" s="2">
        <v>161</v>
      </c>
      <c r="L18" s="5">
        <v>43115.5</v>
      </c>
      <c r="Q18" s="5">
        <v>43114.571527777778</v>
      </c>
      <c r="R18" s="2">
        <v>50</v>
      </c>
      <c r="S18" s="2">
        <v>20644</v>
      </c>
      <c r="T18" s="5">
        <v>43114.708333333336</v>
      </c>
      <c r="U18" s="9">
        <v>43114.59375</v>
      </c>
      <c r="V18" s="10">
        <v>50</v>
      </c>
      <c r="W18" s="10">
        <v>20420</v>
      </c>
      <c r="X18" s="9">
        <v>43114.71875</v>
      </c>
    </row>
    <row r="19" spans="1:24" x14ac:dyDescent="0.55000000000000004">
      <c r="A19" s="5">
        <v>43113.734027777777</v>
      </c>
      <c r="B19" s="2">
        <v>8.02</v>
      </c>
      <c r="C19" s="4" t="s">
        <v>28</v>
      </c>
      <c r="D19" s="5">
        <v>43113.791666666664</v>
      </c>
      <c r="E19" s="9">
        <v>43113.906944444447</v>
      </c>
      <c r="F19" s="10">
        <v>1.2</v>
      </c>
      <c r="G19" s="10" t="s">
        <v>23</v>
      </c>
      <c r="H19" s="9">
        <v>43113.920138888891</v>
      </c>
      <c r="I19" s="5">
        <v>43115.506944444445</v>
      </c>
      <c r="J19" s="2">
        <v>75</v>
      </c>
      <c r="K19" s="2">
        <v>196</v>
      </c>
      <c r="L19" s="5">
        <v>43115.798611111109</v>
      </c>
      <c r="Q19" s="5">
        <v>43114.688194444447</v>
      </c>
      <c r="R19" s="2">
        <v>50</v>
      </c>
      <c r="S19" s="2">
        <v>20578</v>
      </c>
      <c r="T19" s="5">
        <v>43114.833333333336</v>
      </c>
      <c r="U19" s="9">
        <v>43114.708333333336</v>
      </c>
      <c r="V19" s="10">
        <v>50</v>
      </c>
      <c r="W19" s="10">
        <v>20625</v>
      </c>
      <c r="X19" s="9">
        <v>43114.833333333336</v>
      </c>
    </row>
    <row r="20" spans="1:24" x14ac:dyDescent="0.55000000000000004">
      <c r="A20" s="5">
        <v>43113.802777777775</v>
      </c>
      <c r="B20" s="2">
        <v>9.6199999999999992</v>
      </c>
      <c r="C20" s="4" t="s">
        <v>28</v>
      </c>
      <c r="D20" s="5">
        <v>43113.885416666664</v>
      </c>
      <c r="E20" s="9">
        <v>43113.996527777781</v>
      </c>
      <c r="F20" s="10">
        <v>1.02</v>
      </c>
      <c r="G20" s="10" t="s">
        <v>29</v>
      </c>
      <c r="H20" s="9">
        <v>43114.125</v>
      </c>
      <c r="I20" s="5">
        <v>43115.729166666664</v>
      </c>
      <c r="J20" s="2">
        <v>75</v>
      </c>
      <c r="K20" s="2">
        <v>163</v>
      </c>
      <c r="L20" s="5">
        <v>43115.881944444445</v>
      </c>
      <c r="Q20" s="5">
        <v>43114.831944444442</v>
      </c>
      <c r="R20" s="2">
        <v>50</v>
      </c>
      <c r="S20" s="2">
        <v>20763</v>
      </c>
      <c r="T20" s="5">
        <v>43114.979166666664</v>
      </c>
      <c r="U20" s="9">
        <v>43114.837500000001</v>
      </c>
      <c r="V20" s="10">
        <v>50</v>
      </c>
      <c r="W20" s="10">
        <v>20655</v>
      </c>
      <c r="X20" s="9">
        <v>43114.98333333333</v>
      </c>
    </row>
    <row r="21" spans="1:24" x14ac:dyDescent="0.55000000000000004">
      <c r="A21" s="5">
        <v>43113.888888888891</v>
      </c>
      <c r="B21" s="2">
        <v>9.26</v>
      </c>
      <c r="C21" s="4" t="s">
        <v>28</v>
      </c>
      <c r="D21" s="5">
        <v>43113.972222222219</v>
      </c>
      <c r="E21" s="9">
        <v>43114.104166666664</v>
      </c>
      <c r="F21" s="10">
        <v>1.3</v>
      </c>
      <c r="G21" s="10" t="s">
        <v>29</v>
      </c>
      <c r="H21" s="9">
        <v>43114.208333333336</v>
      </c>
      <c r="I21" s="5">
        <v>43115.972916666666</v>
      </c>
      <c r="J21" s="2">
        <v>75</v>
      </c>
      <c r="K21" s="2">
        <v>90</v>
      </c>
      <c r="L21" s="5">
        <v>43116.1875</v>
      </c>
      <c r="Q21" s="5">
        <v>43114.958333333336</v>
      </c>
      <c r="R21" s="2">
        <v>50</v>
      </c>
      <c r="S21" s="2">
        <v>20828</v>
      </c>
      <c r="T21" s="5">
        <v>43115.104166666664</v>
      </c>
      <c r="U21" s="9">
        <v>43115</v>
      </c>
      <c r="V21" s="10">
        <v>50</v>
      </c>
      <c r="W21" s="10">
        <v>20517</v>
      </c>
      <c r="X21" s="9">
        <v>43115.152777777781</v>
      </c>
    </row>
    <row r="22" spans="1:24" x14ac:dyDescent="0.55000000000000004">
      <c r="A22" s="5">
        <v>43113.965277777781</v>
      </c>
      <c r="B22" s="2">
        <v>10.46</v>
      </c>
      <c r="C22" s="4" t="s">
        <v>30</v>
      </c>
      <c r="D22" s="5">
        <v>43114.048611111109</v>
      </c>
      <c r="E22" s="9">
        <v>43114.219444444447</v>
      </c>
      <c r="F22" s="10">
        <v>1.18</v>
      </c>
      <c r="G22" s="10" t="s">
        <v>29</v>
      </c>
      <c r="H22" s="9">
        <v>43114.291666666664</v>
      </c>
      <c r="I22" s="5">
        <v>43116.193055555559</v>
      </c>
      <c r="J22" s="2">
        <v>75</v>
      </c>
      <c r="K22" s="2">
        <v>89</v>
      </c>
      <c r="L22" s="5">
        <v>43116.409722222219</v>
      </c>
      <c r="Q22" s="5">
        <v>43115.12222222222</v>
      </c>
      <c r="R22" s="2">
        <v>50</v>
      </c>
      <c r="S22" s="2">
        <v>20806</v>
      </c>
      <c r="T22" s="5">
        <v>43115.236111111109</v>
      </c>
      <c r="U22" s="9">
        <v>43115.143055555556</v>
      </c>
      <c r="V22" s="10">
        <v>50</v>
      </c>
      <c r="W22" s="10">
        <v>20590</v>
      </c>
      <c r="X22" s="9">
        <v>43115.292361111111</v>
      </c>
    </row>
    <row r="23" spans="1:24" x14ac:dyDescent="0.55000000000000004">
      <c r="A23" s="5">
        <v>43114.054861111108</v>
      </c>
      <c r="B23" s="2">
        <v>8.16</v>
      </c>
      <c r="C23" s="4" t="s">
        <v>30</v>
      </c>
      <c r="D23" s="5">
        <v>43114.121527777781</v>
      </c>
      <c r="E23" s="9">
        <v>43114.281944444447</v>
      </c>
      <c r="F23" s="10">
        <v>1.1599999999999999</v>
      </c>
      <c r="G23" s="10" t="s">
        <v>29</v>
      </c>
      <c r="H23" s="9">
        <v>43114.375</v>
      </c>
      <c r="I23" s="5">
        <v>43116.4</v>
      </c>
      <c r="J23" s="2">
        <v>75</v>
      </c>
      <c r="K23" s="2">
        <v>86</v>
      </c>
      <c r="L23" s="5">
        <v>43116.10833333333</v>
      </c>
      <c r="Q23" s="5">
        <v>43115.265972222223</v>
      </c>
      <c r="R23" s="2">
        <v>50</v>
      </c>
      <c r="S23" s="2">
        <v>20539</v>
      </c>
      <c r="T23" s="5">
        <v>43115.420138888891</v>
      </c>
      <c r="U23" s="9">
        <v>43115.279166666667</v>
      </c>
      <c r="V23" s="10">
        <v>50</v>
      </c>
      <c r="W23" s="10">
        <v>20635</v>
      </c>
      <c r="X23" s="9">
        <v>43115.434027777781</v>
      </c>
    </row>
    <row r="24" spans="1:24" x14ac:dyDescent="0.55000000000000004">
      <c r="A24" s="5">
        <v>43114.128472222219</v>
      </c>
      <c r="B24" s="2">
        <v>8.16</v>
      </c>
      <c r="C24" s="4" t="s">
        <v>30</v>
      </c>
      <c r="D24" s="5">
        <v>43114.194444444445</v>
      </c>
      <c r="E24" s="9">
        <v>43114.375</v>
      </c>
      <c r="F24" s="10">
        <v>1.1399999999999999</v>
      </c>
      <c r="G24" s="10" t="s">
        <v>29</v>
      </c>
      <c r="H24" s="9">
        <v>43114.458333333336</v>
      </c>
      <c r="I24" s="5">
        <v>43116.60833333333</v>
      </c>
      <c r="J24" s="2">
        <v>75</v>
      </c>
      <c r="K24" s="2">
        <v>87</v>
      </c>
      <c r="L24" s="5">
        <v>43116.816666666666</v>
      </c>
      <c r="Q24" s="5">
        <v>43115.404166666667</v>
      </c>
      <c r="R24" s="2">
        <v>50</v>
      </c>
      <c r="S24" s="2">
        <v>20626</v>
      </c>
      <c r="T24" s="5">
        <v>43115.552083333336</v>
      </c>
      <c r="U24" s="15">
        <v>43115.445833333331</v>
      </c>
      <c r="V24" s="16">
        <v>20</v>
      </c>
      <c r="W24" s="16" t="s">
        <v>31</v>
      </c>
      <c r="X24" s="9">
        <v>43115.5</v>
      </c>
    </row>
    <row r="25" spans="1:24" x14ac:dyDescent="0.55000000000000004">
      <c r="A25" s="5">
        <v>43114.194444444445</v>
      </c>
      <c r="B25" s="2">
        <v>7.96</v>
      </c>
      <c r="C25" s="4" t="s">
        <v>30</v>
      </c>
      <c r="D25" s="5">
        <v>43114.263888888891</v>
      </c>
      <c r="E25" s="9">
        <v>43114.463194444441</v>
      </c>
      <c r="F25" s="10">
        <v>1.02</v>
      </c>
      <c r="G25" s="10" t="s">
        <v>29</v>
      </c>
      <c r="H25" s="9">
        <v>43114.583333333336</v>
      </c>
      <c r="I25" s="5">
        <v>43116.779861111114</v>
      </c>
      <c r="J25" s="2">
        <v>75</v>
      </c>
      <c r="K25" s="2">
        <v>191</v>
      </c>
      <c r="L25" s="5">
        <v>43116.946527777778</v>
      </c>
      <c r="Q25" s="5">
        <v>43115.552083333336</v>
      </c>
      <c r="R25" s="2">
        <v>50</v>
      </c>
      <c r="S25" s="2">
        <v>20623</v>
      </c>
      <c r="T25" s="5">
        <v>43115.697916666664</v>
      </c>
      <c r="U25" s="15">
        <v>43115.5</v>
      </c>
      <c r="V25" s="16">
        <v>20</v>
      </c>
      <c r="W25" s="16" t="s">
        <v>32</v>
      </c>
      <c r="X25" s="9">
        <v>43115.5625</v>
      </c>
    </row>
    <row r="26" spans="1:24" x14ac:dyDescent="0.55000000000000004">
      <c r="A26" s="5">
        <v>43114.263888888891</v>
      </c>
      <c r="B26" s="2">
        <v>8.9</v>
      </c>
      <c r="C26" s="4" t="s">
        <v>30</v>
      </c>
      <c r="D26" s="5">
        <v>43114.336805555555</v>
      </c>
      <c r="E26" s="9">
        <v>43114.583333333336</v>
      </c>
      <c r="F26" s="10">
        <v>1.02</v>
      </c>
      <c r="G26" s="10" t="s">
        <v>29</v>
      </c>
      <c r="H26" s="9">
        <v>43114.666666666664</v>
      </c>
      <c r="I26" s="5">
        <v>43117.007638888892</v>
      </c>
      <c r="J26" s="2">
        <v>75</v>
      </c>
      <c r="K26" s="2">
        <v>88</v>
      </c>
      <c r="L26" s="5">
        <v>43117.222222222219</v>
      </c>
      <c r="Q26" s="5">
        <v>43115.701388888891</v>
      </c>
      <c r="R26" s="2">
        <v>50</v>
      </c>
      <c r="S26" s="2">
        <v>20415</v>
      </c>
      <c r="T26" s="5">
        <v>43115.847222222219</v>
      </c>
      <c r="U26" s="15">
        <v>43115.5625</v>
      </c>
      <c r="V26" s="16">
        <v>20</v>
      </c>
      <c r="W26" s="16" t="s">
        <v>33</v>
      </c>
      <c r="X26" s="9">
        <v>43115.625</v>
      </c>
    </row>
    <row r="27" spans="1:24" x14ac:dyDescent="0.55000000000000004">
      <c r="A27" s="5">
        <v>43114.35833333333</v>
      </c>
      <c r="B27" s="2">
        <v>6.68</v>
      </c>
      <c r="C27" s="4" t="s">
        <v>30</v>
      </c>
      <c r="D27" s="5">
        <v>43114.416666666664</v>
      </c>
      <c r="E27" s="9">
        <v>43114.643055555556</v>
      </c>
      <c r="F27" s="10">
        <v>0.94</v>
      </c>
      <c r="G27" s="10" t="s">
        <v>29</v>
      </c>
      <c r="H27" s="9">
        <v>43114.729166666664</v>
      </c>
      <c r="I27" s="5">
        <v>43117.209722222222</v>
      </c>
      <c r="J27" s="2">
        <v>75</v>
      </c>
      <c r="K27" s="2">
        <v>194</v>
      </c>
      <c r="L27" s="5">
        <v>43117.416666666664</v>
      </c>
      <c r="Q27" s="5">
        <v>43115.845138888886</v>
      </c>
      <c r="R27" s="2">
        <v>50</v>
      </c>
      <c r="S27" s="2">
        <v>20627</v>
      </c>
      <c r="T27" s="5">
        <v>43115.990972222222</v>
      </c>
      <c r="U27" s="15">
        <v>43115.614583333336</v>
      </c>
      <c r="V27" s="16">
        <v>20</v>
      </c>
      <c r="W27" s="16" t="s">
        <v>34</v>
      </c>
      <c r="X27" s="9">
        <v>43115.677083333336</v>
      </c>
    </row>
    <row r="28" spans="1:24" x14ac:dyDescent="0.55000000000000004">
      <c r="A28" s="5">
        <v>43114.402777777781</v>
      </c>
      <c r="B28" s="2">
        <v>9.4</v>
      </c>
      <c r="C28" s="4" t="s">
        <v>35</v>
      </c>
      <c r="D28" s="5">
        <v>43114.493055555555</v>
      </c>
      <c r="E28" s="9">
        <v>43114.71875</v>
      </c>
      <c r="F28" s="10">
        <v>1</v>
      </c>
      <c r="G28" s="10" t="s">
        <v>29</v>
      </c>
      <c r="H28" s="9">
        <v>43114.802083333336</v>
      </c>
      <c r="I28" s="5">
        <v>43117.416666666664</v>
      </c>
      <c r="J28" s="2">
        <f>75-58.956</f>
        <v>16.043999999999997</v>
      </c>
      <c r="K28" s="2">
        <v>195</v>
      </c>
      <c r="L28" s="5" t="s">
        <v>36</v>
      </c>
      <c r="Q28" s="5">
        <v>43116.025000000001</v>
      </c>
      <c r="R28" s="2">
        <v>50</v>
      </c>
      <c r="S28" s="2">
        <v>20769</v>
      </c>
      <c r="T28" s="5">
        <v>43116.170138888891</v>
      </c>
      <c r="U28" s="15">
        <v>43115.680555555555</v>
      </c>
      <c r="V28" s="16">
        <v>20</v>
      </c>
      <c r="W28" s="16" t="s">
        <v>37</v>
      </c>
      <c r="X28" s="9">
        <v>43115.743055555555</v>
      </c>
    </row>
    <row r="29" spans="1:24" x14ac:dyDescent="0.55000000000000004">
      <c r="A29" s="5">
        <v>43114.472222222219</v>
      </c>
      <c r="B29" s="2">
        <v>8.92</v>
      </c>
      <c r="C29" s="4" t="s">
        <v>35</v>
      </c>
      <c r="D29" s="5">
        <v>43114.520833333336</v>
      </c>
      <c r="E29" s="9">
        <v>43114.770833333336</v>
      </c>
      <c r="F29" s="10">
        <v>1.08</v>
      </c>
      <c r="G29" s="10" t="s">
        <v>29</v>
      </c>
      <c r="H29" s="9">
        <v>43114.854166666664</v>
      </c>
      <c r="Q29" s="5">
        <v>43116.025000000001</v>
      </c>
      <c r="R29" s="2">
        <v>50</v>
      </c>
      <c r="S29" s="2">
        <v>20769</v>
      </c>
      <c r="T29" s="5">
        <v>43116.170138888891</v>
      </c>
      <c r="U29" s="9">
        <v>43115.751388888886</v>
      </c>
      <c r="V29" s="10">
        <v>50</v>
      </c>
      <c r="W29" s="10">
        <v>20628</v>
      </c>
      <c r="X29" s="9">
        <v>43115.897222222222</v>
      </c>
    </row>
    <row r="30" spans="1:24" x14ac:dyDescent="0.55000000000000004">
      <c r="A30" s="5">
        <v>43114.53402777778</v>
      </c>
      <c r="B30" s="2">
        <v>9.76</v>
      </c>
      <c r="C30" s="4" t="s">
        <v>35</v>
      </c>
      <c r="D30" s="5">
        <v>43114.597222222219</v>
      </c>
      <c r="E30" s="9">
        <v>43114.843055555553</v>
      </c>
      <c r="F30" s="10">
        <v>1.1200000000000001</v>
      </c>
      <c r="G30" s="10" t="s">
        <v>29</v>
      </c>
      <c r="H30" s="9">
        <v>43114.926388888889</v>
      </c>
      <c r="Q30" s="5">
        <v>43116.17291666667</v>
      </c>
      <c r="R30" s="2">
        <v>50</v>
      </c>
      <c r="S30" s="2">
        <v>20821</v>
      </c>
      <c r="T30" s="5">
        <v>43116.322916666664</v>
      </c>
      <c r="U30" s="9">
        <v>43115.868055555555</v>
      </c>
      <c r="V30" s="10">
        <v>50</v>
      </c>
      <c r="W30" s="10">
        <v>20771</v>
      </c>
      <c r="X30" s="9">
        <v>43116.013888888891</v>
      </c>
    </row>
    <row r="31" spans="1:24" x14ac:dyDescent="0.55000000000000004">
      <c r="A31" s="5">
        <v>43114.609027777777</v>
      </c>
      <c r="B31" s="2">
        <v>9.86</v>
      </c>
      <c r="C31" s="4" t="s">
        <v>35</v>
      </c>
      <c r="D31" s="5">
        <v>43114.659722222219</v>
      </c>
      <c r="E31" s="9">
        <v>43114.9375</v>
      </c>
      <c r="F31" s="10">
        <v>0.86</v>
      </c>
      <c r="G31" s="10" t="s">
        <v>29</v>
      </c>
      <c r="H31" s="9">
        <v>43115</v>
      </c>
      <c r="Q31" s="5">
        <v>43116.306944444441</v>
      </c>
      <c r="R31" s="2">
        <v>50</v>
      </c>
      <c r="S31" s="2">
        <v>20816</v>
      </c>
      <c r="T31" s="5">
        <v>43116.444444444445</v>
      </c>
      <c r="U31" s="9">
        <v>43116.041666666664</v>
      </c>
      <c r="V31" s="10">
        <v>50</v>
      </c>
      <c r="W31" s="10">
        <v>20773</v>
      </c>
      <c r="X31" s="9">
        <v>43116.194444444445</v>
      </c>
    </row>
    <row r="32" spans="1:24" x14ac:dyDescent="0.55000000000000004">
      <c r="A32" s="5">
        <v>43114.682638888888</v>
      </c>
      <c r="B32" s="2">
        <v>6.86</v>
      </c>
      <c r="C32" s="4" t="s">
        <v>35</v>
      </c>
      <c r="D32" s="5">
        <v>43114.680555555555</v>
      </c>
      <c r="E32" s="9">
        <v>43115.026388888888</v>
      </c>
      <c r="F32" s="10">
        <v>1</v>
      </c>
      <c r="G32" s="10" t="s">
        <v>29</v>
      </c>
      <c r="H32" s="9">
        <v>43115.104166666664</v>
      </c>
      <c r="Q32" s="5">
        <v>43116.458333333336</v>
      </c>
      <c r="R32" s="2">
        <v>50</v>
      </c>
      <c r="S32" s="2">
        <v>20807</v>
      </c>
      <c r="T32" s="5">
        <v>43116.597222222219</v>
      </c>
      <c r="U32" s="9">
        <v>43116.195138888892</v>
      </c>
      <c r="V32" s="10">
        <v>50</v>
      </c>
      <c r="W32" s="10">
        <v>20774</v>
      </c>
      <c r="X32" s="9">
        <v>43116.34375</v>
      </c>
    </row>
    <row r="33" spans="1:24" x14ac:dyDescent="0.55000000000000004">
      <c r="A33" s="5">
        <v>43114.75</v>
      </c>
      <c r="B33" s="2">
        <v>5.68</v>
      </c>
      <c r="C33" s="4" t="s">
        <v>35</v>
      </c>
      <c r="D33" s="5">
        <v>43114.8125</v>
      </c>
      <c r="E33" s="9">
        <v>43115.109722222223</v>
      </c>
      <c r="F33" s="10">
        <v>1</v>
      </c>
      <c r="G33" s="10" t="s">
        <v>29</v>
      </c>
      <c r="H33" s="9">
        <v>43115.1875</v>
      </c>
      <c r="Q33" s="5">
        <v>43116.597222222219</v>
      </c>
      <c r="R33" s="2">
        <v>50</v>
      </c>
      <c r="S33" s="2">
        <v>20606</v>
      </c>
      <c r="T33" s="5">
        <v>43116.743055555555</v>
      </c>
      <c r="U33" s="9">
        <v>43116.34375</v>
      </c>
      <c r="V33" s="10">
        <v>50</v>
      </c>
      <c r="W33" s="10">
        <v>20601</v>
      </c>
      <c r="X33" s="9">
        <v>43116.489583333336</v>
      </c>
    </row>
    <row r="34" spans="1:24" x14ac:dyDescent="0.55000000000000004">
      <c r="A34" s="5">
        <v>43114.781944444447</v>
      </c>
      <c r="B34" s="2">
        <v>8.36</v>
      </c>
      <c r="C34" s="4" t="s">
        <v>38</v>
      </c>
      <c r="D34" s="5">
        <v>43114.84375</v>
      </c>
      <c r="E34" s="9">
        <v>43115.193749999999</v>
      </c>
      <c r="F34" s="10">
        <v>1.26</v>
      </c>
      <c r="G34" s="10" t="s">
        <v>29</v>
      </c>
      <c r="H34" s="9">
        <v>43115.333333333336</v>
      </c>
      <c r="Q34" s="5">
        <v>43116.708333333336</v>
      </c>
      <c r="R34" s="2">
        <v>50</v>
      </c>
      <c r="S34" s="2">
        <v>20603</v>
      </c>
      <c r="T34" s="5">
        <v>43116.854166666664</v>
      </c>
      <c r="U34" s="9">
        <v>43116.479166666664</v>
      </c>
      <c r="V34" s="10">
        <v>50</v>
      </c>
      <c r="W34" s="10">
        <v>20602</v>
      </c>
      <c r="X34" s="9">
        <v>43116.625</v>
      </c>
    </row>
    <row r="35" spans="1:24" x14ac:dyDescent="0.55000000000000004">
      <c r="A35" s="5">
        <v>43114.849305555559</v>
      </c>
      <c r="B35" s="2">
        <v>8.58</v>
      </c>
      <c r="C35" s="4" t="s">
        <v>38</v>
      </c>
      <c r="D35" s="5">
        <v>43114.916666666664</v>
      </c>
      <c r="E35" s="9">
        <v>43115.34097222222</v>
      </c>
      <c r="F35" s="10">
        <v>1.1399999999999999</v>
      </c>
      <c r="G35" s="10" t="s">
        <v>29</v>
      </c>
      <c r="H35" s="9">
        <v>43115.423611111109</v>
      </c>
      <c r="Q35" s="5">
        <v>43116.84652777778</v>
      </c>
      <c r="R35" s="2">
        <v>50</v>
      </c>
      <c r="S35" s="2">
        <v>20604</v>
      </c>
      <c r="T35" s="5">
        <v>43116.993055555555</v>
      </c>
      <c r="U35" s="9">
        <v>43116.611111111109</v>
      </c>
      <c r="V35" s="10">
        <v>50</v>
      </c>
      <c r="W35" s="10">
        <v>20595</v>
      </c>
      <c r="X35" s="9">
        <v>43116.75</v>
      </c>
    </row>
    <row r="36" spans="1:24" x14ac:dyDescent="0.55000000000000004">
      <c r="A36" s="5">
        <v>43114.913194444445</v>
      </c>
      <c r="B36" s="2">
        <v>7.64</v>
      </c>
      <c r="C36" s="4" t="s">
        <v>38</v>
      </c>
      <c r="D36" s="5">
        <v>43114.979166666664</v>
      </c>
      <c r="E36" s="9">
        <v>43115.465277777781</v>
      </c>
      <c r="F36" s="10">
        <v>1.04</v>
      </c>
      <c r="G36" s="10" t="s">
        <v>29</v>
      </c>
      <c r="H36" s="9">
        <v>43115.541666666664</v>
      </c>
      <c r="Q36" s="5">
        <v>43117</v>
      </c>
      <c r="R36" s="2">
        <v>50</v>
      </c>
      <c r="S36" s="2">
        <v>20534</v>
      </c>
      <c r="T36" s="5">
        <v>43117.149305555555</v>
      </c>
      <c r="U36" s="9">
        <v>43116.732638888891</v>
      </c>
      <c r="V36" s="10">
        <v>50</v>
      </c>
      <c r="W36" s="10">
        <v>20605</v>
      </c>
      <c r="X36" s="9">
        <v>43116.875</v>
      </c>
    </row>
    <row r="37" spans="1:24" x14ac:dyDescent="0.55000000000000004">
      <c r="A37" s="5">
        <v>43114.965277777781</v>
      </c>
      <c r="B37" s="2">
        <v>9.36</v>
      </c>
      <c r="C37" s="4" t="s">
        <v>38</v>
      </c>
      <c r="D37" s="5">
        <v>43115.048611111109</v>
      </c>
      <c r="E37" s="9">
        <v>43115.56527777778</v>
      </c>
      <c r="F37" s="10">
        <v>0.98</v>
      </c>
      <c r="G37" s="10" t="s">
        <v>29</v>
      </c>
      <c r="H37" s="9">
        <v>43115.708333333336</v>
      </c>
      <c r="Q37" s="5">
        <v>43117.136111111111</v>
      </c>
      <c r="R37" s="2">
        <v>50</v>
      </c>
      <c r="S37" s="2">
        <v>20809</v>
      </c>
      <c r="T37" s="5">
        <v>43117.291666666664</v>
      </c>
      <c r="U37" s="9">
        <v>43116.857638888891</v>
      </c>
      <c r="V37" s="10">
        <v>50</v>
      </c>
      <c r="W37" s="10">
        <v>20805</v>
      </c>
      <c r="X37" s="9">
        <v>43116.996527777781</v>
      </c>
    </row>
    <row r="38" spans="1:24" x14ac:dyDescent="0.55000000000000004">
      <c r="A38" s="5">
        <v>43115.045138888891</v>
      </c>
      <c r="B38" s="2">
        <v>8.68</v>
      </c>
      <c r="C38" s="4" t="s">
        <v>38</v>
      </c>
      <c r="D38" s="5">
        <v>43115.114583333336</v>
      </c>
      <c r="E38" s="9">
        <v>43115.657638888886</v>
      </c>
      <c r="F38" s="10">
        <v>1</v>
      </c>
      <c r="G38" s="10" t="s">
        <v>29</v>
      </c>
      <c r="H38" s="9">
        <v>43115.740972222222</v>
      </c>
      <c r="Q38" s="5">
        <v>43117.270833333336</v>
      </c>
      <c r="R38" s="2">
        <v>50</v>
      </c>
      <c r="S38" s="2">
        <v>20416</v>
      </c>
      <c r="T38" s="5">
        <v>43117.416666666664</v>
      </c>
      <c r="U38" s="9">
        <v>43116.511805555558</v>
      </c>
      <c r="V38" s="10">
        <v>50</v>
      </c>
      <c r="W38" s="10">
        <v>20810</v>
      </c>
      <c r="X38" s="9">
        <v>43116.654861111114</v>
      </c>
    </row>
    <row r="39" spans="1:24" x14ac:dyDescent="0.55000000000000004">
      <c r="A39" s="5">
        <v>43115.118055555555</v>
      </c>
      <c r="B39" s="2">
        <v>7.38</v>
      </c>
      <c r="C39" s="4" t="s">
        <v>38</v>
      </c>
      <c r="D39" s="5">
        <v>43115.166666666664</v>
      </c>
      <c r="E39" s="9">
        <v>43115.722222222219</v>
      </c>
      <c r="F39" s="10">
        <v>0.92</v>
      </c>
      <c r="G39" s="10" t="s">
        <v>29</v>
      </c>
      <c r="H39" s="9">
        <v>43115.805555555555</v>
      </c>
      <c r="Q39" s="5">
        <v>43117.399305555555</v>
      </c>
      <c r="R39" s="2">
        <v>0</v>
      </c>
      <c r="S39" s="2">
        <v>20418</v>
      </c>
      <c r="T39" s="5" t="s">
        <v>36</v>
      </c>
      <c r="U39" s="9"/>
      <c r="V39" s="10">
        <v>12.8</v>
      </c>
      <c r="W39" s="10"/>
      <c r="X39" s="9"/>
    </row>
    <row r="40" spans="1:24" x14ac:dyDescent="0.55000000000000004">
      <c r="A40" s="5">
        <v>43115.171527777777</v>
      </c>
      <c r="B40" s="2">
        <v>10.52</v>
      </c>
      <c r="C40" s="4" t="s">
        <v>39</v>
      </c>
      <c r="D40" s="5">
        <v>43115.256944444445</v>
      </c>
      <c r="E40" s="9">
        <v>43115.784722222219</v>
      </c>
      <c r="F40" s="10">
        <v>1.04</v>
      </c>
      <c r="G40" s="10" t="s">
        <v>29</v>
      </c>
      <c r="H40" s="9">
        <v>43115.868055555555</v>
      </c>
      <c r="U40" s="9">
        <v>43117.291666666664</v>
      </c>
      <c r="V40" s="10">
        <v>50</v>
      </c>
      <c r="W40" s="10">
        <v>20477</v>
      </c>
      <c r="X40" s="9">
        <v>43116.916666666664</v>
      </c>
    </row>
    <row r="41" spans="1:24" x14ac:dyDescent="0.55000000000000004">
      <c r="A41" s="5">
        <v>43115.26666666667</v>
      </c>
      <c r="B41" s="2">
        <v>9.16</v>
      </c>
      <c r="C41" s="4" t="s">
        <v>39</v>
      </c>
      <c r="D41" s="5">
        <v>43115.3125</v>
      </c>
      <c r="E41" s="9">
        <v>43115.888888888891</v>
      </c>
      <c r="F41" s="10">
        <v>1.04</v>
      </c>
      <c r="G41" s="10" t="s">
        <v>29</v>
      </c>
      <c r="H41" s="9">
        <v>43115.972222222219</v>
      </c>
      <c r="U41" s="9">
        <v>43117.416666666664</v>
      </c>
      <c r="V41" s="10">
        <f>50-19.034</f>
        <v>30.966000000000001</v>
      </c>
      <c r="W41" s="10">
        <v>20418</v>
      </c>
      <c r="X41" s="9" t="s">
        <v>36</v>
      </c>
    </row>
    <row r="42" spans="1:24" x14ac:dyDescent="0.55000000000000004">
      <c r="A42" s="5">
        <v>43115.340277777781</v>
      </c>
      <c r="B42" s="2">
        <v>10.08</v>
      </c>
      <c r="C42" s="4" t="s">
        <v>39</v>
      </c>
      <c r="D42" s="5">
        <v>43115.423611111109</v>
      </c>
      <c r="E42" s="9">
        <v>43115.996527777781</v>
      </c>
      <c r="F42" s="10">
        <v>1.02</v>
      </c>
      <c r="G42" s="10" t="s">
        <v>40</v>
      </c>
      <c r="H42" s="9">
        <v>43116.083333333336</v>
      </c>
    </row>
    <row r="43" spans="1:24" x14ac:dyDescent="0.55000000000000004">
      <c r="A43" s="5">
        <v>43115.416666666664</v>
      </c>
      <c r="B43" s="2">
        <v>9.56</v>
      </c>
      <c r="C43" s="4" t="s">
        <v>39</v>
      </c>
      <c r="D43" s="5">
        <v>43115</v>
      </c>
      <c r="E43" s="9">
        <v>43116.090277777781</v>
      </c>
      <c r="F43" s="10">
        <v>1.1000000000000001</v>
      </c>
      <c r="G43" s="10" t="s">
        <v>40</v>
      </c>
      <c r="H43" s="9">
        <v>43116.166666666664</v>
      </c>
    </row>
    <row r="44" spans="1:24" x14ac:dyDescent="0.55000000000000004">
      <c r="A44" s="5">
        <v>43115.504861111112</v>
      </c>
      <c r="B44" s="2">
        <v>7.3</v>
      </c>
      <c r="C44" s="4" t="s">
        <v>39</v>
      </c>
      <c r="D44" s="5">
        <v>43115.5625</v>
      </c>
      <c r="E44" s="9">
        <v>43116.165277777778</v>
      </c>
      <c r="F44" s="10">
        <v>0.98</v>
      </c>
      <c r="G44" s="10" t="s">
        <v>40</v>
      </c>
      <c r="H44" s="9">
        <v>43116.25</v>
      </c>
    </row>
    <row r="45" spans="1:24" x14ac:dyDescent="0.55000000000000004">
      <c r="A45" s="5">
        <v>43115.568055555559</v>
      </c>
      <c r="B45" s="2">
        <v>3.88</v>
      </c>
      <c r="C45" s="4" t="s">
        <v>39</v>
      </c>
      <c r="D45" s="5">
        <v>43115.59375</v>
      </c>
      <c r="E45" s="9">
        <v>43116.25</v>
      </c>
      <c r="F45" s="10">
        <v>1.08</v>
      </c>
      <c r="G45" s="10" t="s">
        <v>40</v>
      </c>
      <c r="H45" s="9">
        <v>43116.333333333336</v>
      </c>
    </row>
    <row r="46" spans="1:24" x14ac:dyDescent="0.55000000000000004">
      <c r="A46" s="5">
        <v>43115.59652777778</v>
      </c>
      <c r="B46" s="2">
        <v>8.2799999999999994</v>
      </c>
      <c r="C46" s="4" t="s">
        <v>39</v>
      </c>
      <c r="D46" s="5">
        <v>43115.659722222219</v>
      </c>
      <c r="E46" s="9">
        <v>43116.333333333336</v>
      </c>
      <c r="F46" s="10">
        <v>1</v>
      </c>
      <c r="G46" s="10" t="s">
        <v>40</v>
      </c>
      <c r="H46" s="9">
        <v>43116.416666666664</v>
      </c>
    </row>
    <row r="47" spans="1:24" x14ac:dyDescent="0.55000000000000004">
      <c r="A47" s="5">
        <v>43115.666666666664</v>
      </c>
      <c r="B47" s="2">
        <v>8.74</v>
      </c>
      <c r="C47" s="4" t="s">
        <v>41</v>
      </c>
      <c r="D47" s="5">
        <v>43115.739583333336</v>
      </c>
      <c r="E47" s="9">
        <v>43116.416666666664</v>
      </c>
      <c r="F47" s="10">
        <v>1.24</v>
      </c>
      <c r="G47" s="10" t="s">
        <v>40</v>
      </c>
      <c r="H47" s="9">
        <v>43116.5</v>
      </c>
    </row>
    <row r="48" spans="1:24" x14ac:dyDescent="0.55000000000000004">
      <c r="A48" s="5">
        <v>43115.75</v>
      </c>
      <c r="B48" s="2">
        <v>7.72</v>
      </c>
      <c r="C48" s="4" t="s">
        <v>41</v>
      </c>
      <c r="D48" s="5">
        <v>43115.833333333336</v>
      </c>
      <c r="E48" s="9">
        <v>43116.5</v>
      </c>
      <c r="F48" s="10">
        <v>1.08</v>
      </c>
      <c r="G48" s="10" t="s">
        <v>40</v>
      </c>
      <c r="H48" s="9">
        <v>43116.583333333336</v>
      </c>
    </row>
    <row r="49" spans="1:8" x14ac:dyDescent="0.55000000000000004">
      <c r="A49" s="5">
        <v>43115.8125</v>
      </c>
      <c r="B49" s="2">
        <v>8.82</v>
      </c>
      <c r="C49" s="4" t="s">
        <v>41</v>
      </c>
      <c r="D49" s="5">
        <v>43115.875</v>
      </c>
      <c r="E49" s="9">
        <v>43116.583333333336</v>
      </c>
      <c r="F49" s="10">
        <v>1.08</v>
      </c>
      <c r="G49" s="10" t="s">
        <v>40</v>
      </c>
      <c r="H49" s="9">
        <v>43116.666666666664</v>
      </c>
    </row>
    <row r="50" spans="1:8" x14ac:dyDescent="0.55000000000000004">
      <c r="A50" s="5">
        <v>43115.886805555558</v>
      </c>
      <c r="B50" s="2">
        <v>8.48</v>
      </c>
      <c r="C50" s="4" t="s">
        <v>41</v>
      </c>
      <c r="D50" s="5">
        <v>43115.958333333336</v>
      </c>
      <c r="E50" s="9">
        <v>43116.680555555555</v>
      </c>
      <c r="F50" s="10">
        <v>1.1000000000000001</v>
      </c>
      <c r="G50" s="10" t="s">
        <v>40</v>
      </c>
      <c r="H50" s="9">
        <v>43116.763888888891</v>
      </c>
    </row>
    <row r="51" spans="1:8" x14ac:dyDescent="0.55000000000000004">
      <c r="A51" s="5">
        <v>43115.955555555556</v>
      </c>
      <c r="B51" s="2">
        <v>8.34</v>
      </c>
      <c r="C51" s="4" t="s">
        <v>38</v>
      </c>
      <c r="D51" s="5">
        <v>43116.041666666664</v>
      </c>
      <c r="E51" s="9">
        <v>43116.772916666669</v>
      </c>
      <c r="F51" s="10">
        <v>1.08</v>
      </c>
      <c r="G51" s="10" t="s">
        <v>40</v>
      </c>
      <c r="H51" s="9">
        <v>43116.856249999997</v>
      </c>
    </row>
    <row r="52" spans="1:8" x14ac:dyDescent="0.55000000000000004">
      <c r="A52" s="5">
        <v>43116.034722222219</v>
      </c>
      <c r="B52" s="2">
        <v>7.12</v>
      </c>
      <c r="C52" s="4" t="s">
        <v>38</v>
      </c>
      <c r="D52" s="5">
        <v>43116.097222222219</v>
      </c>
      <c r="E52" s="9">
        <v>43116.849305555559</v>
      </c>
      <c r="F52" s="10">
        <v>1.24</v>
      </c>
      <c r="G52" s="10" t="s">
        <v>40</v>
      </c>
      <c r="H52" s="9">
        <v>43116.932638888888</v>
      </c>
    </row>
    <row r="53" spans="1:8" x14ac:dyDescent="0.55000000000000004">
      <c r="A53" s="5">
        <v>43116.100694444445</v>
      </c>
      <c r="B53" s="2">
        <v>7.48</v>
      </c>
      <c r="C53" s="4" t="s">
        <v>38</v>
      </c>
      <c r="D53" s="5">
        <v>43116.163194444445</v>
      </c>
      <c r="E53" s="9">
        <v>43116.92291666667</v>
      </c>
      <c r="F53" s="10">
        <v>1.1200000000000001</v>
      </c>
      <c r="G53" s="10" t="s">
        <v>40</v>
      </c>
      <c r="H53" s="9">
        <v>43117.006249999999</v>
      </c>
    </row>
    <row r="54" spans="1:8" x14ac:dyDescent="0.55000000000000004">
      <c r="A54" s="5">
        <v>43116.163194444445</v>
      </c>
      <c r="B54" s="2">
        <v>9</v>
      </c>
      <c r="C54" s="4" t="s">
        <v>38</v>
      </c>
      <c r="D54" s="5">
        <v>43116.243055555555</v>
      </c>
      <c r="E54" s="9">
        <v>43117.010416666664</v>
      </c>
      <c r="F54" s="10">
        <v>1.1299999999999999</v>
      </c>
      <c r="G54" s="10" t="s">
        <v>42</v>
      </c>
      <c r="H54" s="9">
        <v>43117.006249999999</v>
      </c>
    </row>
    <row r="55" spans="1:8" x14ac:dyDescent="0.55000000000000004">
      <c r="A55" s="5">
        <v>43116.236111111109</v>
      </c>
      <c r="B55" s="2">
        <v>7.24</v>
      </c>
      <c r="C55" s="4" t="s">
        <v>38</v>
      </c>
      <c r="D55" s="5">
        <v>43116.298611111109</v>
      </c>
      <c r="E55" s="9">
        <v>43117.090277777781</v>
      </c>
      <c r="F55" s="10">
        <v>1.0900000000000001</v>
      </c>
      <c r="G55" s="10" t="s">
        <v>42</v>
      </c>
      <c r="H55" s="9">
        <v>43117.208333333336</v>
      </c>
    </row>
    <row r="56" spans="1:8" x14ac:dyDescent="0.55000000000000004">
      <c r="A56" s="5">
        <v>43116.290277777778</v>
      </c>
      <c r="B56" s="2">
        <v>9.74</v>
      </c>
      <c r="C56" s="4" t="s">
        <v>38</v>
      </c>
      <c r="D56" s="5">
        <v>43116.368055555555</v>
      </c>
      <c r="E56" s="9">
        <v>43117.208333333336</v>
      </c>
      <c r="F56" s="10">
        <v>1.24</v>
      </c>
      <c r="G56" s="10" t="s">
        <v>42</v>
      </c>
      <c r="H56" s="9">
        <v>43117.3125</v>
      </c>
    </row>
    <row r="57" spans="1:8" x14ac:dyDescent="0.55000000000000004">
      <c r="A57" s="5">
        <v>43116.369444444441</v>
      </c>
      <c r="B57" s="2">
        <v>9.6</v>
      </c>
      <c r="C57" s="4" t="s">
        <v>38</v>
      </c>
      <c r="D57" s="5">
        <v>43116.416666666664</v>
      </c>
      <c r="E57" s="9">
        <v>43117.3125</v>
      </c>
      <c r="F57" s="10">
        <v>0.97689999999999999</v>
      </c>
      <c r="G57" s="10" t="s">
        <v>42</v>
      </c>
      <c r="H57" s="9">
        <v>43117.395833333336</v>
      </c>
    </row>
    <row r="58" spans="1:8" x14ac:dyDescent="0.55000000000000004">
      <c r="A58" s="5">
        <v>43116.447916666664</v>
      </c>
      <c r="B58" s="2">
        <v>9.4600000000000009</v>
      </c>
      <c r="C58" s="4" t="s">
        <v>43</v>
      </c>
      <c r="D58" s="5">
        <v>43116.520833333336</v>
      </c>
      <c r="E58" s="9">
        <v>43117.395833333336</v>
      </c>
      <c r="F58" s="10">
        <f>1.0332</f>
        <v>1.0331999999999999</v>
      </c>
      <c r="G58" s="10" t="s">
        <v>42</v>
      </c>
      <c r="H58" s="9" t="s">
        <v>36</v>
      </c>
    </row>
    <row r="59" spans="1:8" x14ac:dyDescent="0.55000000000000004">
      <c r="A59" s="5">
        <v>43116.518055555556</v>
      </c>
      <c r="B59" s="2">
        <v>9.94</v>
      </c>
      <c r="C59" s="4" t="s">
        <v>43</v>
      </c>
      <c r="D59" s="5">
        <v>43116.597222222219</v>
      </c>
    </row>
    <row r="60" spans="1:8" x14ac:dyDescent="0.55000000000000004">
      <c r="A60" s="5">
        <v>43116.59375</v>
      </c>
      <c r="B60" s="2">
        <v>9.08</v>
      </c>
      <c r="C60" s="4" t="s">
        <v>43</v>
      </c>
      <c r="D60" s="5">
        <v>43116.666666666664</v>
      </c>
    </row>
    <row r="61" spans="1:8" x14ac:dyDescent="0.55000000000000004">
      <c r="A61" s="5">
        <v>43116.661111111112</v>
      </c>
      <c r="B61" s="2">
        <v>9.06</v>
      </c>
      <c r="C61" s="4" t="s">
        <v>43</v>
      </c>
      <c r="D61" s="5">
        <v>43116.729166666664</v>
      </c>
    </row>
    <row r="62" spans="1:8" x14ac:dyDescent="0.55000000000000004">
      <c r="A62" s="5">
        <v>43116.718055555553</v>
      </c>
      <c r="B62" s="2">
        <v>7.88</v>
      </c>
      <c r="C62" s="4" t="s">
        <v>43</v>
      </c>
      <c r="D62" s="5">
        <v>43116.802083333336</v>
      </c>
    </row>
    <row r="63" spans="1:8" x14ac:dyDescent="0.55000000000000004">
      <c r="A63" s="5">
        <v>43116.791666666664</v>
      </c>
      <c r="B63" s="2">
        <v>4.66</v>
      </c>
      <c r="C63" s="4" t="s">
        <v>43</v>
      </c>
      <c r="D63" s="5">
        <v>43116.833333333336</v>
      </c>
    </row>
    <row r="64" spans="1:8" x14ac:dyDescent="0.55000000000000004">
      <c r="A64" s="5">
        <v>43116.825694444444</v>
      </c>
      <c r="B64" s="2">
        <v>10.28</v>
      </c>
      <c r="C64" s="4" t="s">
        <v>44</v>
      </c>
      <c r="D64" s="5">
        <v>43116.90902777778</v>
      </c>
    </row>
    <row r="65" spans="1:4" x14ac:dyDescent="0.55000000000000004">
      <c r="A65" s="5">
        <v>43116.908333333333</v>
      </c>
      <c r="B65" s="2">
        <v>8.24</v>
      </c>
      <c r="C65" s="4" t="s">
        <v>44</v>
      </c>
      <c r="D65" s="5">
        <v>43116.965277777781</v>
      </c>
    </row>
    <row r="66" spans="1:4" x14ac:dyDescent="0.55000000000000004">
      <c r="A66" s="5">
        <v>43117.96875</v>
      </c>
      <c r="B66" s="2">
        <v>10.14</v>
      </c>
      <c r="C66" s="4" t="s">
        <v>44</v>
      </c>
      <c r="D66" s="5">
        <v>43117.052777777775</v>
      </c>
    </row>
    <row r="67" spans="1:4" x14ac:dyDescent="0.55000000000000004">
      <c r="A67" s="5">
        <v>43117.05</v>
      </c>
      <c r="B67" s="2">
        <v>10.56</v>
      </c>
      <c r="C67" s="4" t="s">
        <v>44</v>
      </c>
      <c r="D67" s="5">
        <v>43117.135416666664</v>
      </c>
    </row>
    <row r="68" spans="1:4" x14ac:dyDescent="0.55000000000000004">
      <c r="A68" s="5">
        <v>43117.128472222219</v>
      </c>
      <c r="B68" s="2">
        <v>10.78</v>
      </c>
      <c r="C68" s="4" t="s">
        <v>44</v>
      </c>
      <c r="D68" s="5">
        <v>43117.215277777781</v>
      </c>
    </row>
    <row r="69" spans="1:4" x14ac:dyDescent="0.55000000000000004">
      <c r="A69" s="5">
        <v>43117.208333333336</v>
      </c>
      <c r="B69" s="2">
        <v>11.28</v>
      </c>
      <c r="C69" s="4" t="s">
        <v>45</v>
      </c>
      <c r="D69" s="5">
        <v>43117.295138888891</v>
      </c>
    </row>
    <row r="70" spans="1:4" x14ac:dyDescent="0.55000000000000004">
      <c r="A70" s="5">
        <v>43117.291666666664</v>
      </c>
      <c r="B70" s="2">
        <v>8.02</v>
      </c>
      <c r="C70" s="4" t="s">
        <v>45</v>
      </c>
      <c r="D70" s="5">
        <v>43117.354166666664</v>
      </c>
    </row>
    <row r="71" spans="1:4" x14ac:dyDescent="0.55000000000000004">
      <c r="A71" s="5">
        <v>43117.352777777778</v>
      </c>
      <c r="B71" s="2">
        <v>8.02</v>
      </c>
      <c r="C71" s="4" t="s">
        <v>45</v>
      </c>
      <c r="D71" s="5">
        <v>43117.416666666664</v>
      </c>
    </row>
    <row r="72" spans="1:4" x14ac:dyDescent="0.55000000000000004">
      <c r="A72" s="5">
        <v>43117.414583333331</v>
      </c>
      <c r="B72" s="2">
        <f>1.554+2.969</f>
        <v>4.5229999999999997</v>
      </c>
      <c r="C72" s="4" t="s">
        <v>45</v>
      </c>
      <c r="D72" s="5" t="s">
        <v>36</v>
      </c>
    </row>
  </sheetData>
  <mergeCells count="6">
    <mergeCell ref="U1:X1"/>
    <mergeCell ref="A1:D1"/>
    <mergeCell ref="E1:H1"/>
    <mergeCell ref="I1:L1"/>
    <mergeCell ref="M1:P1"/>
    <mergeCell ref="Q1:T1"/>
  </mergeCells>
  <pageMargins left="0.7" right="0.7" top="0.75" bottom="0.75" header="0.3" footer="0.3"/>
  <headerFooter>
    <oddHeader>&amp;L&amp;"Calibri"&amp;12&amp;K03C03C Openbaar-Public&amp;1#_x000D_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Assembly>Microsoft.Office.Policy, Version=14.0.0.0,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Assembly>Microsoft.Office.Policy, Version=14.0.0.0,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Assembly>Microsoft.Office.Policy, Version=14.0.0.0,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Assembly>Microsoft.Office.Policy, Version=14.0.0.0,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Assembly>Microsoft.Office.Policy, Version=14.0.0.0, Culture=neutral, PublicKeyToken=71e9bce111e9429c</Assembly>
    <Class>Microsoft.Office.RecordsManagement.Internal.UpdateExpireDate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rug Product Document" ma:contentTypeID="0x010100CC2986BC0FA44E81B08513B6BAEAF85300BE5668FF3F5DEC4D95A59FD75C0D84D9" ma:contentTypeVersion="93" ma:contentTypeDescription="Drug Product Document" ma:contentTypeScope="" ma:versionID="c9c505bad3d55499d89f0986e9037743">
  <xsd:schema xmlns:xsd="http://www.w3.org/2001/XMLSchema" xmlns:xs="http://www.w3.org/2001/XMLSchema" xmlns:p="http://schemas.microsoft.com/office/2006/metadata/properties" xmlns:ns1="d2df706a-3b99-40a0-ba7d-357e7051957b" xmlns:ns2="http://schemas.microsoft.com/sharepoint/v3" xmlns:ns3="d353fcf7-205b-40c5-a3af-4cf3a5e9c355" xmlns:ns4="b794873b-8904-4c6c-b35b-43602e73db83" targetNamespace="http://schemas.microsoft.com/office/2006/metadata/properties" ma:root="true" ma:fieldsID="321646c5ef484ed15c00809e6efefe45" ns1:_="" ns2:_="" ns3:_="" ns4:_="">
    <xsd:import namespace="d2df706a-3b99-40a0-ba7d-357e7051957b"/>
    <xsd:import namespace="http://schemas.microsoft.com/sharepoint/v3"/>
    <xsd:import namespace="d353fcf7-205b-40c5-a3af-4cf3a5e9c355"/>
    <xsd:import namespace="b794873b-8904-4c6c-b35b-43602e73db83"/>
    <xsd:element name="properties">
      <xsd:complexType>
        <xsd:sequence>
          <xsd:element name="documentManagement">
            <xsd:complexType>
              <xsd:all>
                <xsd:element ref="ns3:_dlc_DocId" minOccurs="0"/>
                <xsd:element ref="ns3:_dlc_DocIdUrl" minOccurs="0"/>
                <xsd:element ref="ns3:_dlc_DocIdPersistId" minOccurs="0"/>
                <xsd:element ref="ns3:e1f13a6ebb3f4c24a0f9b32bbda53cd9" minOccurs="0"/>
                <xsd:element ref="ns3:TaxCatchAll" minOccurs="0"/>
                <xsd:element ref="ns3:TaxCatchAllLabel" minOccurs="0"/>
                <xsd:element ref="ns3:o14695716d63409eaf89b0016357528f" minOccurs="0"/>
                <xsd:element ref="ns3:kd7c54d16fc9433583f37b32f14d83d2" minOccurs="0"/>
                <xsd:element ref="ns3:fb5ff19bdc4a41bdba3ba1e8bf2a4360" minOccurs="0"/>
                <xsd:element ref="ns3:h50701306c454f2d9ca605d03f3a3b7e" minOccurs="0"/>
                <xsd:element ref="ns1:Spe_TKDrugProduct_SiteColumns_ProcessLifecycle"/>
                <xsd:element ref="ns1:Spe_TKDrugProduct_SiteColumns_GeneratedBy"/>
                <xsd:element ref="ns1:Spe_TKDrugProduct_SiteColumns_SME"/>
                <xsd:element ref="ns3:nb6aeb6d0bba4a539bd7bb62b9948f3d" minOccurs="0"/>
                <xsd:element ref="ns3:lbed9edaac5a4c9ab6f162aef1a070ed" minOccurs="0"/>
                <xsd:element ref="ns1:Spe_TKDrugProduct_SiteColumns_ContentStatus" minOccurs="0"/>
                <xsd:element ref="ns3:c6d8973b2a17438da1fca12f2acc1936" minOccurs="0"/>
                <xsd:element ref="ns1:Spe_TKDrugProduct_SiteColumns_Context" minOccurs="0"/>
                <xsd:element ref="ns1:Spe_TKDrugProduct_SiteColumns_ProcessMethodLabel" minOccurs="0"/>
                <xsd:element ref="ns1:Spe_TKDrugProduct_SiteColumns_ProductType" minOccurs="0"/>
                <xsd:element ref="ns1:Spe_TKDrugProduct_SiteColumns_SequenceVersion" minOccurs="0"/>
                <xsd:element ref="ns1:Spe_TKDrugProduct_SiteColumns_FormulationVersion" minOccurs="0"/>
                <xsd:element ref="ns1:Spe_TKDrugProduct_SiteColumns_UnitOpGroup" minOccurs="0"/>
                <xsd:element ref="ns1:Spe_TKDrugProduct_SiteColumns_ProcessMethodNumber" minOccurs="0"/>
                <xsd:element ref="ns1:Spe_TKDrugProduct_SiteColumns_Discuss" minOccurs="0"/>
                <xsd:element ref="ns3:k279b5be66814e3cbc382669e175a2f7" minOccurs="0"/>
                <xsd:element ref="ns3:k279b5be66814e3cbc382669e175a2f8" minOccurs="0"/>
                <xsd:element ref="ns1:Spe_TKBiologics_SiteColumns_DueDate" minOccurs="0"/>
                <xsd:element ref="ns4:Spe_TK_Global_SiteColumns_TemplateID" minOccurs="0"/>
                <xsd:element ref="ns4:Spe_TK_Global_SiteColumns_TemplateVersion" minOccurs="0"/>
                <xsd:element ref="ns4:Spe_TK_Global_SiteColumns_LegacySystem" minOccurs="0"/>
                <xsd:element ref="ns4:Spe_TK_Global_SiteColumns_LegacySourcePath" minOccurs="0"/>
                <xsd:element ref="ns4:Spe_TK_Global_SiteColumns_LegacyAuthor" minOccurs="0"/>
                <xsd:element ref="ns4:Spe_TK_Global_SiteColumns_LegacyFileName" minOccurs="0"/>
                <xsd:element ref="ns4:Spe_TK_Global_SiteColumns_MigratedOn" minOccurs="0"/>
                <xsd:element ref="ns4:Spe_TK_Global_SiteColumns_CPSFlag" minOccurs="0"/>
                <xsd:element ref="ns2:_dlc_Exempt" minOccurs="0"/>
                <xsd:element ref="ns2:_dlc_ExpireDateSaved" minOccurs="0"/>
                <xsd:element ref="ns2:_dlc_Expire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df706a-3b99-40a0-ba7d-357e7051957b" elementFormDefault="qualified">
    <xsd:import namespace="http://schemas.microsoft.com/office/2006/documentManagement/types"/>
    <xsd:import namespace="http://schemas.microsoft.com/office/infopath/2007/PartnerControls"/>
    <xsd:element name="Spe_TKDrugProduct_SiteColumns_ProcessLifecycle" ma:index="23" ma:displayName="Process Lifecycle" ma:default="" ma:description="Which phase of the product's development or manufacturing does this content apply to?  Choose one." ma:internalName="Spe_TKDrugProduct_SiteColumns_ProcessLifecycle" ma:readOnly="false">
      <xsd:simpleType>
        <xsd:restriction base="dms:Choice">
          <xsd:enumeration value="Early development"/>
          <xsd:enumeration value="Development/piloting"/>
          <xsd:enumeration value="Launch"/>
          <xsd:enumeration value="Supply"/>
        </xsd:restriction>
      </xsd:simpleType>
    </xsd:element>
    <xsd:element name="Spe_TKDrugProduct_SiteColumns_GeneratedBy" ma:index="24" ma:displayName="Generated By" ma:default="" ma:description="Was this content documented exclusively by Merck, by an external party or jointly?  Choose one." ma:internalName="Spe_TKDrugProduct_SiteColumns_GeneratedBy" ma:readOnly="false">
      <xsd:simpleType>
        <xsd:restriction base="dms:Choice">
          <xsd:enumeration value="Merck"/>
          <xsd:enumeration value="Internal/external collaboration"/>
          <xsd:enumeration value="External partner"/>
        </xsd:restriction>
      </xsd:simpleType>
    </xsd:element>
    <xsd:element name="Spe_TKDrugProduct_SiteColumns_SME" ma:index="25" ma:displayName="Subject Matter Experts" ma:description="Enter one or more person(s) most knowledgeable about this content. Enter users separated by semicolons or use the lookup button." ma:list="UserInfo" ma:SharePointGroup="0" ma:internalName="Spe_TKDrugProduct_SiteColumns_SME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pe_TKDrugProduct_SiteColumns_ContentStatus" ma:index="30" nillable="true" ma:displayName="Content Status" ma:default="Work in progress/draft" ma:description="Identify whether this content is in a draft/work in progress or final state or indicate if it is ready for deletion. If currently draft, update the status when the content becomes final." ma:internalName="Spe_TKDrugProduct_SiteColumns_ContentStatus">
      <xsd:simpleType>
        <xsd:restriction base="dms:Choice">
          <xsd:enumeration value="Work in progress/draft"/>
          <xsd:enumeration value="Final"/>
          <xsd:enumeration value="Marked for deletion"/>
        </xsd:restriction>
      </xsd:simpleType>
    </xsd:element>
    <xsd:element name="Spe_TKDrugProduct_SiteColumns_Context" ma:index="33" nillable="true" ma:displayName="Keywords or Context" ma:description="Enter relevant and specific keywords separated by semi-colons. Short phrases may also be used to provide additional background/context." ma:internalName="Spe_TKDrugProduct_SiteColumns_Context">
      <xsd:simpleType>
        <xsd:restriction base="dms:Note"/>
      </xsd:simpleType>
    </xsd:element>
    <xsd:element name="Spe_TKDrugProduct_SiteColumns_ProcessMethodLabel" ma:index="34" nillable="true" ma:displayName="Process/Method Label" ma:description="Paste in a Process/Method Version label generated by the Versioning Key, covering Product, Sequence Row, Formulation Version, Unit Op grouping and Process/Method Version." ma:internalName="Spe_TKDrugProduct_SiteColumns_ProcessMethodLabel">
      <xsd:simpleType>
        <xsd:restriction base="dms:Text"/>
      </xsd:simpleType>
    </xsd:element>
    <xsd:element name="Spe_TKDrugProduct_SiteColumns_ProductType" ma:index="35" nillable="true" ma:displayName="Product/Intermediate" ma:internalName="Spe_TKDrugProduct_SiteColumns_ProductType">
      <xsd:simpleType>
        <xsd:restriction base="dms:Text">
          <xsd:maxLength value="255"/>
        </xsd:restriction>
      </xsd:simpleType>
    </xsd:element>
    <xsd:element name="Spe_TKDrugProduct_SiteColumns_SequenceVersion" ma:index="36" nillable="true" ma:displayName="Sequence Row" ma:internalName="Spe_TKDrugProduct_SiteColumns_SequenceVersion">
      <xsd:simpleType>
        <xsd:restriction base="dms:Text"/>
      </xsd:simpleType>
    </xsd:element>
    <xsd:element name="Spe_TKDrugProduct_SiteColumns_FormulationVersion" ma:index="37" nillable="true" ma:displayName="Formulation Version" ma:internalName="Spe_TKDrugProduct_SiteColumns_FormulationVersion">
      <xsd:simpleType>
        <xsd:restriction base="dms:Text"/>
      </xsd:simpleType>
    </xsd:element>
    <xsd:element name="Spe_TKDrugProduct_SiteColumns_UnitOpGroup" ma:index="38" nillable="true" ma:displayName="Unit Op Group" ma:internalName="Spe_TKDrugProduct_SiteColumns_UnitOpGroup">
      <xsd:simpleType>
        <xsd:restriction base="dms:Text"/>
      </xsd:simpleType>
    </xsd:element>
    <xsd:element name="Spe_TKDrugProduct_SiteColumns_ProcessMethodNumber" ma:index="39" nillable="true" ma:displayName="Process/Method Version" ma:internalName="Spe_TKDrugProduct_SiteColumns_ProcessMethodNumber">
      <xsd:simpleType>
        <xsd:restriction base="dms:Text"/>
      </xsd:simpleType>
    </xsd:element>
    <xsd:element name="Spe_TKDrugProduct_SiteColumns_Discuss" ma:index="40" nillable="true" ma:displayName="Discuss" ma:format="Hyperlink" ma:internalName="Spe_TKDrugProduct_SiteColumns_Discus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Spe_TKBiologics_SiteColumns_DueDate" ma:index="45" nillable="true" ma:displayName="Due Date" ma:description="Identify an optional target completion date for this document. " ma:format="DateOnly" ma:internalName="Spe_TKBiologics_SiteColumns_Due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54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55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56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3fcf7-205b-40c5-a3af-4cf3a5e9c35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e1f13a6ebb3f4c24a0f9b32bbda53cd9" ma:index="11" ma:taxonomy="true" ma:internalName="e1f13a6ebb3f4c24a0f9b32bbda53cd9" ma:taxonomyFieldName="Spe_TKDrugProduct_SiteColumns_MultiProduct" ma:displayName="Product" ma:default="-1;#MK-0431|fd009fc8-7cb8-5eb2-87b0-652bdc63814d" ma:fieldId="{e1f13a6e-bb3f-4c24-a0f9-b32bbda53cd9}" ma:taxonomyMulti="true" ma:sspId="58d2a889-b29a-49b5-b5fb-ff07b77a57d2" ma:termSetId="4e0e3f64-563d-5891-8af2-d77b509456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d5b9c0cf-6207-48c1-bfec-554830891c8c}" ma:internalName="TaxCatchAll" ma:showField="CatchAllData" ma:web="d2df706a-3b99-40a0-ba7d-357e705195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d5b9c0cf-6207-48c1-bfec-554830891c8c}" ma:internalName="TaxCatchAllLabel" ma:readOnly="true" ma:showField="CatchAllDataLabel" ma:web="d2df706a-3b99-40a0-ba7d-357e705195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14695716d63409eaf89b0016357528f" ma:index="15" ma:taxonomy="true" ma:internalName="o14695716d63409eaf89b0016357528f" ma:taxonomyFieldName="Spe_TKDrugProduct_SiteColumns_Topic" ma:displayName="Topic" ma:fieldId="{81469571-6d63-409e-af89-b0016357528f}" ma:taxonomyMulti="true" ma:sspId="58d2a889-b29a-49b5-b5fb-ff07b77a57d2" ma:termSetId="73716426-9685-578f-ac25-d732ef9db81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d7c54d16fc9433583f37b32f14d83d2" ma:index="17" ma:taxonomy="true" ma:internalName="kd7c54d16fc9433583f37b32f14d83d2" ma:taxonomyFieldName="Spe_TKDrugProduct_SiteColumns_DocumentType" ma:displayName="Document Type" ma:fieldId="{4d7c54d1-6fc9-4335-83f3-7b32f14d83d2}" ma:taxonomyMulti="true" ma:sspId="58d2a889-b29a-49b5-b5fb-ff07b77a57d2" ma:termSetId="90b8fd93-83e8-5499-b9fa-8577d7f4687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5ff19bdc4a41bdba3ba1e8bf2a4360" ma:index="19" ma:taxonomy="true" ma:internalName="fb5ff19bdc4a41bdba3ba1e8bf2a4360" ma:taxonomyFieldName="Spe_TKDrugProduct_SiteColumns_MaterialType" ma:displayName="Material Type" ma:fieldId="{fb5ff19b-dc4a-41bd-ba3b-a1e8bf2a4360}" ma:taxonomyMulti="true" ma:sspId="58d2a889-b29a-49b5-b5fb-ff07b77a57d2" ma:termSetId="e8772e2f-4090-5db9-a9ff-7dae831c7ae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50701306c454f2d9ca605d03f3a3b7e" ma:index="21" ma:taxonomy="true" ma:internalName="h50701306c454f2d9ca605d03f3a3b7e" ma:taxonomyFieldName="Spe_TKDrugProduct_SiteColumns_DosageForm" ma:displayName="Dosage Form" ma:fieldId="{15070130-6c45-4f2d-9ca6-05d03f3a3b7e}" ma:taxonomyMulti="true" ma:sspId="58d2a889-b29a-49b5-b5fb-ff07b77a57d2" ma:termSetId="a3d6d7d4-b8f4-5a4b-809c-24139607a59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6aeb6d0bba4a539bd7bb62b9948f3d" ma:index="26" nillable="true" ma:taxonomy="true" ma:internalName="nb6aeb6d0bba4a539bd7bb62b9948f3d" ma:taxonomyFieldName="Spe_TKDrugProduct_SiteColumns_DevelopmentPurpose" ma:displayName="Document Purpose" ma:fieldId="{7b6aeb6d-0bba-4a53-9bd7-bb62b9948f3d}" ma:taxonomyMulti="true" ma:sspId="58d2a889-b29a-49b5-b5fb-ff07b77a57d2" ma:termSetId="b20b95a2-a64c-529b-ab84-94dccab6b7e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bed9edaac5a4c9ab6f162aef1a070ed" ma:index="28" nillable="true" ma:taxonomy="true" ma:internalName="lbed9edaac5a4c9ab6f162aef1a070ed" ma:taxonomyFieldName="Spe_TKDrugProduct_SiteColumns_SiteLocation" ma:displayName="Site / Location" ma:fieldId="{5bed9eda-ac5a-4c9a-b6f1-62aef1a070ed}" ma:taxonomyMulti="true" ma:sspId="58d2a889-b29a-49b5-b5fb-ff07b77a57d2" ma:termSetId="d7eca976-021d-57a8-ab0f-6eec26d5e46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6d8973b2a17438da1fca12f2acc1936" ma:index="31" nillable="true" ma:taxonomy="true" ma:internalName="c6d8973b2a17438da1fca12f2acc1936" ma:taxonomyFieldName="Spe_TK_Global_SiteColumns_MMSKeyword" ma:displayName="Keyword(s)" ma:readOnly="false" ma:default="" ma:fieldId="{c6d8973b-2a17-438d-a1fc-a12f2acc1936}" ma:taxonomyMulti="true" ma:sspId="58d2a889-b29a-49b5-b5fb-ff07b77a57d2" ma:termSetId="3bb94ec9-c40b-4d5a-9775-2005b5f2b454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k279b5be66814e3cbc382669e175a2f7" ma:index="41" nillable="true" ma:taxonomy="true" ma:internalName="k279b5be66814e3cbc382669e175a2f7" ma:taxonomyFieldName="Spe_TKDrugProduct_SiteColumns_DrugProduct" ma:displayName="Drug Product" ma:default="46;#MK-0431|a5aebd03-d2c4-507a-8364-9a6609e529f1" ma:fieldId="{4279b5be-6681-4e3c-bc38-2669e175a2f7}" ma:taxonomyMulti="true" ma:sspId="58d2a889-b29a-49b5-b5fb-ff07b77a57d2" ma:termSetId="d07888af-7444-549a-9cff-d778405df87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279b5be66814e3cbc382669e175a2f8" ma:index="43" nillable="true" ma:taxonomy="true" ma:internalName="k279b5be66814e3cbc382669e175a2f8" ma:taxonomyFieldName="Spe_TKBiologics_SiteColumns_Modality" ma:displayName="Modality" ma:default="93;#Small molecules|4c6cd6eb-2421-5c2a-bf62-dbdcdb9bdb2b" ma:fieldId="{4279b5be-6681-4e3c-bc38-2669e175a2f8}" ma:sspId="58d2a889-b29a-49b5-b5fb-ff07b77a57d2" ma:termSetId="49cc792e-53f1-5ace-b371-a808c28d489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4873b-8904-4c6c-b35b-43602e73db83" elementFormDefault="qualified">
    <xsd:import namespace="http://schemas.microsoft.com/office/2006/documentManagement/types"/>
    <xsd:import namespace="http://schemas.microsoft.com/office/infopath/2007/PartnerControls"/>
    <xsd:element name="Spe_TK_Global_SiteColumns_TemplateID" ma:index="46" nillable="true" ma:displayName="Template ID" ma:indexed="true" ma:internalName="Spe_TK_Global_SiteColumns_TemplateID">
      <xsd:simpleType>
        <xsd:restriction base="dms:Text"/>
      </xsd:simpleType>
    </xsd:element>
    <xsd:element name="Spe_TK_Global_SiteColumns_TemplateVersion" ma:index="47" nillable="true" ma:displayName="Template Version" ma:indexed="true" ma:internalName="Spe_TK_Global_SiteColumns_TemplateVersion">
      <xsd:simpleType>
        <xsd:restriction base="dms:Text"/>
      </xsd:simpleType>
    </xsd:element>
    <xsd:element name="Spe_TK_Global_SiteColumns_LegacySystem" ma:index="48" nillable="true" ma:displayName="Legacy System" ma:indexed="true" ma:internalName="Spe_TK_Global_SiteColumns_LegacySystem">
      <xsd:simpleType>
        <xsd:restriction base="dms:Text"/>
      </xsd:simpleType>
    </xsd:element>
    <xsd:element name="Spe_TK_Global_SiteColumns_LegacySourcePath" ma:index="49" nillable="true" ma:displayName="Legacy Source Path" ma:indexed="true" ma:internalName="Spe_TK_Global_SiteColumns_LegacySourcePath">
      <xsd:simpleType>
        <xsd:restriction base="dms:Text"/>
      </xsd:simpleType>
    </xsd:element>
    <xsd:element name="Spe_TK_Global_SiteColumns_LegacyAuthor" ma:index="50" nillable="true" ma:displayName="Legacy Author" ma:indexed="true" ma:internalName="Spe_TK_Global_SiteColumns_LegacyAuthor">
      <xsd:simpleType>
        <xsd:restriction base="dms:Text"/>
      </xsd:simpleType>
    </xsd:element>
    <xsd:element name="Spe_TK_Global_SiteColumns_LegacyFileName" ma:index="51" nillable="true" ma:displayName="Legacy File Name" ma:indexed="true" ma:internalName="Spe_TK_Global_SiteColumns_LegacyFileName">
      <xsd:simpleType>
        <xsd:restriction base="dms:Text"/>
      </xsd:simpleType>
    </xsd:element>
    <xsd:element name="Spe_TK_Global_SiteColumns_MigratedOn" ma:index="52" nillable="true" ma:displayName="Processed Date" ma:format="DateOnly" ma:indexed="true" ma:internalName="Spe_TK_Global_SiteColumns_MigratedOn">
      <xsd:simpleType>
        <xsd:restriction base="dms:DateTime"/>
      </xsd:simpleType>
    </xsd:element>
    <xsd:element name="Spe_TK_Global_SiteColumns_CPSFlag" ma:index="53" nillable="true" ma:displayName="CPS Flag" ma:default="0" ma:indexed="true" ma:internalName="Spe_TK_Global_SiteColumns_CPSFlag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58d2a889-b29a-49b5-b5fb-ff07b77a57d2" ContentTypeId="0x010100CC2986BC0FA44E81B08513B6BAEAF853" PreviousValue="false"/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pe_TKDrugProduct_SiteColumns_SequenceVersion xmlns="d2df706a-3b99-40a0-ba7d-357e7051957b" xsi:nil="true"/>
    <Spe_TK_Global_SiteColumns_TemplateID xmlns="b794873b-8904-4c6c-b35b-43602e73db83" xsi:nil="true"/>
    <Spe_TKDrugProduct_SiteColumns_ProductType xmlns="d2df706a-3b99-40a0-ba7d-357e7051957b" xsi:nil="true"/>
    <k279b5be66814e3cbc382669e175a2f7 xmlns="d353fcf7-205b-40c5-a3af-4cf3a5e9c35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MK-0431</TermName>
          <TermId xmlns="http://schemas.microsoft.com/office/infopath/2007/PartnerControls">a5aebd03-d2c4-507a-8364-9a6609e529f1</TermId>
        </TermInfo>
      </Terms>
    </k279b5be66814e3cbc382669e175a2f7>
    <Spe_TKBiologics_SiteColumns_DueDate xmlns="d2df706a-3b99-40a0-ba7d-357e7051957b" xsi:nil="true"/>
    <e1f13a6ebb3f4c24a0f9b32bbda53cd9 xmlns="d353fcf7-205b-40c5-a3af-4cf3a5e9c35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MK-0431</TermName>
          <TermId xmlns="http://schemas.microsoft.com/office/infopath/2007/PartnerControls">fd009fc8-7cb8-5eb2-87b0-652bdc63814d</TermId>
        </TermInfo>
      </Terms>
    </e1f13a6ebb3f4c24a0f9b32bbda53cd9>
    <Spe_TK_Global_SiteColumns_TemplateVersion xmlns="b794873b-8904-4c6c-b35b-43602e73db83" xsi:nil="true"/>
    <Spe_TKDrugProduct_SiteColumns_ProcessLifecycle xmlns="d2df706a-3b99-40a0-ba7d-357e7051957b">Development/piloting</Spe_TKDrugProduct_SiteColumns_ProcessLifecycle>
    <Spe_TKDrugProduct_SiteColumns_ProcessMethodNumber xmlns="d2df706a-3b99-40a0-ba7d-357e7051957b" xsi:nil="true"/>
    <Spe_TK_Global_SiteColumns_LegacyAuthor xmlns="b794873b-8904-4c6c-b35b-43602e73db83" xsi:nil="true"/>
    <kd7c54d16fc9433583f37b32f14d83d2 xmlns="d353fcf7-205b-40c5-a3af-4cf3a5e9c355">
      <Terms xmlns="http://schemas.microsoft.com/office/infopath/2007/PartnerControls">
        <TermInfo xmlns="http://schemas.microsoft.com/office/infopath/2007/PartnerControls">
          <TermName xmlns="http://schemas.microsoft.com/office/infopath/2007/PartnerControls">Spreadsheets/tables</TermName>
          <TermId xmlns="http://schemas.microsoft.com/office/infopath/2007/PartnerControls">ce71269c-df0f-520a-a5ba-40d753047f5d</TermId>
        </TermInfo>
      </Terms>
    </kd7c54d16fc9433583f37b32f14d83d2>
    <lbed9edaac5a4c9ab6f162aef1a070ed xmlns="d353fcf7-205b-40c5-a3af-4cf3a5e9c355">
      <Terms xmlns="http://schemas.microsoft.com/office/infopath/2007/PartnerControls"/>
    </lbed9edaac5a4c9ab6f162aef1a070ed>
    <Spe_TK_Global_SiteColumns_CPSFlag xmlns="b794873b-8904-4c6c-b35b-43602e73db83">false</Spe_TK_Global_SiteColumns_CPSFlag>
    <Spe_TKDrugProduct_SiteColumns_UnitOpGroup xmlns="d2df706a-3b99-40a0-ba7d-357e7051957b" xsi:nil="true"/>
    <fb5ff19bdc4a41bdba3ba1e8bf2a4360 xmlns="d353fcf7-205b-40c5-a3af-4cf3a5e9c35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Drug product</TermName>
          <TermId xmlns="http://schemas.microsoft.com/office/infopath/2007/PartnerControls">ee1bb9aa-65ba-5b59-af33-35d642d41eb8</TermId>
        </TermInfo>
      </Terms>
    </fb5ff19bdc4a41bdba3ba1e8bf2a4360>
    <nb6aeb6d0bba4a539bd7bb62b9948f3d xmlns="d353fcf7-205b-40c5-a3af-4cf3a5e9c355">
      <Terms xmlns="http://schemas.microsoft.com/office/infopath/2007/PartnerControls"/>
    </nb6aeb6d0bba4a539bd7bb62b9948f3d>
    <c6d8973b2a17438da1fca12f2acc1936 xmlns="d353fcf7-205b-40c5-a3af-4cf3a5e9c355">
      <Terms xmlns="http://schemas.microsoft.com/office/infopath/2007/PartnerControls"/>
    </c6d8973b2a17438da1fca12f2acc1936>
    <Spe_TKDrugProduct_SiteColumns_FormulationVersion xmlns="d2df706a-3b99-40a0-ba7d-357e7051957b" xsi:nil="true"/>
    <Spe_TK_Global_SiteColumns_LegacyFileName xmlns="b794873b-8904-4c6c-b35b-43602e73db83" xsi:nil="true"/>
    <h50701306c454f2d9ca605d03f3a3b7e xmlns="d353fcf7-205b-40c5-a3af-4cf3a5e9c355">
      <Terms xmlns="http://schemas.microsoft.com/office/infopath/2007/PartnerControls">
        <TermInfo xmlns="http://schemas.microsoft.com/office/infopath/2007/PartnerControls">
          <TermName xmlns="http://schemas.microsoft.com/office/infopath/2007/PartnerControls">Tablet immediate release</TermName>
          <TermId xmlns="http://schemas.microsoft.com/office/infopath/2007/PartnerControls">c4d2cada-9a54-5d6b-adab-4c17dc857810</TermId>
        </TermInfo>
      </Terms>
    </h50701306c454f2d9ca605d03f3a3b7e>
    <Spe_TKDrugProduct_SiteColumns_Context xmlns="d2df706a-3b99-40a0-ba7d-357e7051957b" xsi:nil="true"/>
    <Spe_TKDrugProduct_SiteColumns_ContentStatus xmlns="d2df706a-3b99-40a0-ba7d-357e7051957b">Work in progress/draft</Spe_TKDrugProduct_SiteColumns_ContentStatus>
    <o14695716d63409eaf89b0016357528f xmlns="d353fcf7-205b-40c5-a3af-4cf3a5e9c355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Process development and operations</TermName>
          <TermId xmlns="http://schemas.microsoft.com/office/infopath/2007/PartnerControls">88ff1988-107c-59bf-b415-01d984a0d5ae</TermId>
        </TermInfo>
      </Terms>
    </o14695716d63409eaf89b0016357528f>
    <Spe_TKDrugProduct_SiteColumns_GeneratedBy xmlns="d2df706a-3b99-40a0-ba7d-357e7051957b">Merck</Spe_TKDrugProduct_SiteColumns_GeneratedBy>
    <Spe_TKDrugProduct_SiteColumns_SME xmlns="d2df706a-3b99-40a0-ba7d-357e7051957b">
      <UserInfo>
        <DisplayName>NORTHAMERICA\tantucci</DisplayName>
        <AccountId>1097</AccountId>
        <AccountType/>
      </UserInfo>
    </Spe_TKDrugProduct_SiteColumns_SME>
    <k279b5be66814e3cbc382669e175a2f8 xmlns="d353fcf7-205b-40c5-a3af-4cf3a5e9c355">
      <Terms xmlns="http://schemas.microsoft.com/office/infopath/2007/PartnerControls">
        <TermInfo xmlns="http://schemas.microsoft.com/office/infopath/2007/PartnerControls">
          <TermName xmlns="http://schemas.microsoft.com/office/infopath/2007/PartnerControls">Small molecules</TermName>
          <TermId xmlns="http://schemas.microsoft.com/office/infopath/2007/PartnerControls">4c6cd6eb-2421-5c2a-bf62-dbdcdb9bdb2b</TermId>
        </TermInfo>
      </Terms>
    </k279b5be66814e3cbc382669e175a2f8>
    <Spe_TK_Global_SiteColumns_LegacySourcePath xmlns="b794873b-8904-4c6c-b35b-43602e73db83" xsi:nil="true"/>
    <TaxCatchAll xmlns="d353fcf7-205b-40c5-a3af-4cf3a5e9c355">
      <Value>93</Value>
      <Value>50</Value>
      <Value>49</Value>
      <Value>202</Value>
      <Value>58</Value>
      <Value>46</Value>
      <Value>88</Value>
    </TaxCatchAll>
    <Spe_TK_Global_SiteColumns_LegacySystem xmlns="b794873b-8904-4c6c-b35b-43602e73db83" xsi:nil="true"/>
    <Spe_TK_Global_SiteColumns_MigratedOn xmlns="b794873b-8904-4c6c-b35b-43602e73db83" xsi:nil="true"/>
    <Spe_TKDrugProduct_SiteColumns_Discuss xmlns="d2df706a-3b99-40a0-ba7d-357e7051957b">
      <Url xsi:nil="true"/>
      <Description xsi:nil="true"/>
    </Spe_TKDrugProduct_SiteColumns_Discuss>
    <Spe_TKDrugProduct_SiteColumns_ProcessMethodLabel xmlns="d2df706a-3b99-40a0-ba7d-357e7051957b" xsi:nil="true"/>
    <_dlc_ExpireDateSaved xmlns="http://schemas.microsoft.com/sharepoint/v3" xsi:nil="true"/>
    <_dlc_ExpireDate xmlns="http://schemas.microsoft.com/sharepoint/v3">2063-01-17T15:06:05+00:00</_dlc_ExpireDate>
  </documentManagement>
</p:properties>
</file>

<file path=customXml/item6.xml><?xml version="1.0" encoding="utf-8"?>
<?mso-contentType ?>
<p:Policy xmlns:p="office.server.policy" local="true" id="1AE92895-7350-4FBC-8839-90BA4B2F49E9">
  <p:Name>TK-Drug Product Retention Policy</p:Name>
  <p:Description>Permanently deletes TK-Drug Product Content after reaching 45 years from the last modified date. This retention schedule is applied to TK-Drug Product Content types.</p:Description>
  <p:Statement/>
  <p:PolicyItems>
    <p:PolicyItem featureId="Microsoft.Office.RecordsManagement.PolicyFeatures.Expiration" UniqueId="4e8a1004-0505-4079-be16-5dbf6593d913">
      <p:Name>Retention</p:Name>
      <p:Description>Automatic scheduling of content for processing, and performing a retention action on content that has reached its due date.</p:Description>
      <p:CustomData>
        <Schedules nextStageId="2">
          <Schedule type="Default">
            <stages>
              <data stageId="1">
                <formula id="Microsoft.Office.RecordsManagement.PolicyFeatures.Expiration.Formula.BuiltIn">
                  <number>45</number>
                  <property>Modified</property>
                  <propertyId>28cf69c5-fa48-462a-b5cd-27b6f9d2bd5f</propertyId>
                  <period>years</period>
                </formula>
                <action type="action" id="Microsoft.Office.RecordsManagement.PolicyFeatures.Expiration.Action.Delete"/>
              </data>
            </stages>
          </Schedule>
        </Schedules>
      </p:CustomData>
    </p:PolicyItem>
  </p:PolicyItems>
</p:Policy>
</file>

<file path=customXml/item7.xml><?xml version="1.0" encoding="utf-8"?>
<sisl xmlns:xsi="http://www.w3.org/2001/XMLSchema-instance" xmlns:xsd="http://www.w3.org/2001/XMLSchema" xmlns="http://www.boldonjames.com/2008/01/sie/internal/label" sislVersion="0" policy="a10f9ac0-5937-4b4f-b459-96aedd9ed2c5">
  <element uid="9920fcc9-9f43-4d43-9e3e-b98a219cfd55" value=""/>
</sisl>
</file>

<file path=customXml/itemProps1.xml><?xml version="1.0" encoding="utf-8"?>
<ds:datastoreItem xmlns:ds="http://schemas.openxmlformats.org/officeDocument/2006/customXml" ds:itemID="{65BD95B4-44EB-427A-99A1-7CD47356B41E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3AFA2E6-ADF7-4815-8EC0-45AF882CD1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31D74B-6426-463E-9624-DCC48B041E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df706a-3b99-40a0-ba7d-357e7051957b"/>
    <ds:schemaRef ds:uri="http://schemas.microsoft.com/sharepoint/v3"/>
    <ds:schemaRef ds:uri="d353fcf7-205b-40c5-a3af-4cf3a5e9c355"/>
    <ds:schemaRef ds:uri="b794873b-8904-4c6c-b35b-43602e73db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500BF30-80C5-4670-9A2F-D6291736A2C2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51626AFD-0F56-40B3-A0BC-1F300B52F8A6}">
  <ds:schemaRefs>
    <ds:schemaRef ds:uri="http://schemas.microsoft.com/office/2006/metadata/properties"/>
    <ds:schemaRef ds:uri="http://schemas.microsoft.com/office/infopath/2007/PartnerControls"/>
    <ds:schemaRef ds:uri="d2df706a-3b99-40a0-ba7d-357e7051957b"/>
    <ds:schemaRef ds:uri="b794873b-8904-4c6c-b35b-43602e73db83"/>
    <ds:schemaRef ds:uri="d353fcf7-205b-40c5-a3af-4cf3a5e9c355"/>
    <ds:schemaRef ds:uri="http://schemas.microsoft.com/sharepoint/v3"/>
  </ds:schemaRefs>
</ds:datastoreItem>
</file>

<file path=customXml/itemProps6.xml><?xml version="1.0" encoding="utf-8"?>
<ds:datastoreItem xmlns:ds="http://schemas.openxmlformats.org/officeDocument/2006/customXml" ds:itemID="{827509F0-74C1-4848-ABA7-CEB1E18C7ADE}">
  <ds:schemaRefs>
    <ds:schemaRef ds:uri="office.server.policy"/>
  </ds:schemaRefs>
</ds:datastoreItem>
</file>

<file path=customXml/itemProps7.xml><?xml version="1.0" encoding="utf-8"?>
<ds:datastoreItem xmlns:ds="http://schemas.openxmlformats.org/officeDocument/2006/customXml" ds:itemID="{B8740725-3161-4485-9B8D-79B300C5AB6C}">
  <ds:schemaRefs>
    <ds:schemaRef ds:uri="http://www.w3.org/2001/XMLSchema"/>
    <ds:schemaRef ds:uri="http://www.boldonjames.com/2008/01/sie/internal/label"/>
  </ds:schemaRefs>
</ds:datastoreItem>
</file>

<file path=docMetadata/LabelInfo.xml><?xml version="1.0" encoding="utf-8"?>
<clbl:labelList xmlns:clbl="http://schemas.microsoft.com/office/2020/mipLabelMetadata">
  <clbl:label id="{0d56268a-eb7b-43c9-b9fb-59236b4461b5}" enabled="1" method="Privileged" siteId="{0e17f90f-88a3-4f93-a5d7-cc847cff307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Tablet properties</vt:lpstr>
      <vt:lpstr>Raw Material Drum change</vt:lpstr>
    </vt:vector>
  </TitlesOfParts>
  <Manager/>
  <Company>Merck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GEA120hrShiftLog</dc:title>
  <dc:subject/>
  <dc:creator>Anthony Tantuccio</dc:creator>
  <cp:keywords/>
  <dc:description/>
  <cp:lastModifiedBy>Martagan, Tugce</cp:lastModifiedBy>
  <cp:revision/>
  <dcterms:created xsi:type="dcterms:W3CDTF">2018-01-03T16:21:36Z</dcterms:created>
  <dcterms:modified xsi:type="dcterms:W3CDTF">2024-03-26T15:35:50Z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0x010100CC2986BC0FA44E81B08513B6BAEAF85300BE5668FF3F5DEC4D95A59FD75C0D84D9</vt:lpwstr>
  </property>
  <property fmtid="{D5CDD505-2E9C-101B-9397-08002B2CF9AE}" pid="3" name="_dlc_policyId">
    <vt:lpwstr/>
  </property>
  <property fmtid="{D5CDD505-2E9C-101B-9397-08002B2CF9AE}" pid="4" name="ItemRetentionFormula">
    <vt:lpwstr>&lt;formula id="Microsoft.Office.RecordsManagement.PolicyFeatures.Expiration.Formula.BuiltIn"&gt;&lt;number&gt;45&lt;/number&gt;&lt;property&gt;Modified&lt;/property&gt;&lt;propertyId&gt;28cf69c5-fa48-462a-b5cd-27b6f9d2bd5f&lt;/propertyId&gt;&lt;period&gt;years&lt;/period&gt;&lt;/formula&gt;</vt:lpwstr>
  </property>
  <property fmtid="{D5CDD505-2E9C-101B-9397-08002B2CF9AE}" pid="5" name="Spe_TKDrugProduct_SiteColumns_MultiProduct">
    <vt:lpwstr>202;#MK-0431|fd009fc8-7cb8-5eb2-87b0-652bdc63814d</vt:lpwstr>
  </property>
  <property fmtid="{D5CDD505-2E9C-101B-9397-08002B2CF9AE}" pid="6" name="Spe_TKDrugProduct_SiteColumns_DocumentType">
    <vt:lpwstr>88;#Spreadsheets/tables|ce71269c-df0f-520a-a5ba-40d753047f5d</vt:lpwstr>
  </property>
  <property fmtid="{D5CDD505-2E9C-101B-9397-08002B2CF9AE}" pid="7" name="Spe_TKDrugProduct_SiteColumns_DrugProduct">
    <vt:lpwstr>46;#MK-0431|a5aebd03-d2c4-507a-8364-9a6609e529f1</vt:lpwstr>
  </property>
  <property fmtid="{D5CDD505-2E9C-101B-9397-08002B2CF9AE}" pid="8" name="Spe_TKDrugProduct_SiteColumns_SiteLocation">
    <vt:lpwstr/>
  </property>
  <property fmtid="{D5CDD505-2E9C-101B-9397-08002B2CF9AE}" pid="9" name="Spe_TKDrugProduct_SiteColumns_MaterialType">
    <vt:lpwstr>49;#Drug product|ee1bb9aa-65ba-5b59-af33-35d642d41eb8</vt:lpwstr>
  </property>
  <property fmtid="{D5CDD505-2E9C-101B-9397-08002B2CF9AE}" pid="10" name="Spe_TKDrugProduct_SiteColumns_DevelopmentPurpose">
    <vt:lpwstr/>
  </property>
  <property fmtid="{D5CDD505-2E9C-101B-9397-08002B2CF9AE}" pid="11" name="Spe_TKBiologics_SiteColumns_Modality">
    <vt:lpwstr>93</vt:lpwstr>
  </property>
  <property fmtid="{D5CDD505-2E9C-101B-9397-08002B2CF9AE}" pid="12" name="Spe_TK_Global_SiteColumns_MMSKeyword">
    <vt:lpwstr/>
  </property>
  <property fmtid="{D5CDD505-2E9C-101B-9397-08002B2CF9AE}" pid="13" name="Spe_TKDrugProduct_SiteColumns_DosageForm">
    <vt:lpwstr>50;#Tablet immediate release|c4d2cada-9a54-5d6b-adab-4c17dc857810</vt:lpwstr>
  </property>
  <property fmtid="{D5CDD505-2E9C-101B-9397-08002B2CF9AE}" pid="14" name="Spe_TKDrugProduct_SiteColumns_Topic">
    <vt:lpwstr>58;#Process development and operations|88ff1988-107c-59bf-b415-01d984a0d5ae</vt:lpwstr>
  </property>
  <property fmtid="{D5CDD505-2E9C-101B-9397-08002B2CF9AE}" pid="15" name="docIndexRef">
    <vt:lpwstr>17c6fa24-ca1e-4276-9a2c-65f729b08f1a</vt:lpwstr>
  </property>
  <property fmtid="{D5CDD505-2E9C-101B-9397-08002B2CF9AE}" pid="16" name="bjSaver">
    <vt:lpwstr>gRej3OR9N8J+KHG1t4xS6/IoJNzkCtvB</vt:lpwstr>
  </property>
  <property fmtid="{D5CDD505-2E9C-101B-9397-08002B2CF9AE}" pid="17" name="bjDocumentLabelXML">
    <vt:lpwstr>&lt;?xml version="1.0" encoding="us-ascii"?&gt;&lt;sisl xmlns:xsi="http://www.w3.org/2001/XMLSchema-instance" xmlns:xsd="http://www.w3.org/2001/XMLSchema" sislVersion="0" policy="a10f9ac0-5937-4b4f-b459-96aedd9ed2c5" xmlns="http://www.boldonjames.com/2008/01/sie/i</vt:lpwstr>
  </property>
  <property fmtid="{D5CDD505-2E9C-101B-9397-08002B2CF9AE}" pid="18" name="bjDocumentLabelXML-0">
    <vt:lpwstr>nternal/label"&gt;&lt;element uid="9920fcc9-9f43-4d43-9e3e-b98a219cfd55" value="" /&gt;&lt;/sisl&gt;</vt:lpwstr>
  </property>
  <property fmtid="{D5CDD505-2E9C-101B-9397-08002B2CF9AE}" pid="19" name="bjDocumentSecurityLabel">
    <vt:lpwstr>Not Classified</vt:lpwstr>
  </property>
  <property fmtid="{D5CDD505-2E9C-101B-9397-08002B2CF9AE}" pid="20" name="MSIP_Label_35109b13-2531-414a-aee2-b29f25730687_Enabled">
    <vt:lpwstr>true</vt:lpwstr>
  </property>
  <property fmtid="{D5CDD505-2E9C-101B-9397-08002B2CF9AE}" pid="21" name="MSIP_Label_35109b13-2531-414a-aee2-b29f25730687_SetDate">
    <vt:lpwstr>2024-03-19T07:03:49Z</vt:lpwstr>
  </property>
  <property fmtid="{D5CDD505-2E9C-101B-9397-08002B2CF9AE}" pid="22" name="MSIP_Label_35109b13-2531-414a-aee2-b29f25730687_Method">
    <vt:lpwstr>Privileged</vt:lpwstr>
  </property>
  <property fmtid="{D5CDD505-2E9C-101B-9397-08002B2CF9AE}" pid="23" name="MSIP_Label_35109b13-2531-414a-aee2-b29f25730687_Name">
    <vt:lpwstr>Dutch - Public</vt:lpwstr>
  </property>
  <property fmtid="{D5CDD505-2E9C-101B-9397-08002B2CF9AE}" pid="24" name="MSIP_Label_35109b13-2531-414a-aee2-b29f25730687_SiteId">
    <vt:lpwstr>a00de4ec-48a8-43a6-be74-e31274e2060d</vt:lpwstr>
  </property>
  <property fmtid="{D5CDD505-2E9C-101B-9397-08002B2CF9AE}" pid="25" name="MSIP_Label_35109b13-2531-414a-aee2-b29f25730687_ActionId">
    <vt:lpwstr>8b9a7985-ded9-4122-b194-9c600a27023c</vt:lpwstr>
  </property>
  <property fmtid="{D5CDD505-2E9C-101B-9397-08002B2CF9AE}" pid="26" name="MSIP_Label_35109b13-2531-414a-aee2-b29f25730687_ContentBits">
    <vt:lpwstr>1</vt:lpwstr>
  </property>
</Properties>
</file>